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mchyon2\Desktop\"/>
    </mc:Choice>
  </mc:AlternateContent>
  <xr:revisionPtr revIDLastSave="0" documentId="8_{53867BB7-DBE4-4A61-A8CA-A0E77E7E3912}" xr6:coauthVersionLast="47" xr6:coauthVersionMax="47" xr10:uidLastSave="{00000000-0000-0000-0000-000000000000}"/>
  <bookViews>
    <workbookView xWindow="-108" yWindow="-108" windowWidth="23256" windowHeight="12456" firstSheet="1" activeTab="7" xr2:uid="{00000000-000D-0000-FFFF-FFFF00000000}"/>
  </bookViews>
  <sheets>
    <sheet name="question_inventory" sheetId="1" r:id="rId1"/>
    <sheet name="Q1_Q13_raw" sheetId="2" r:id="rId2"/>
    <sheet name="S1_S10_aggregate" sheetId="3" r:id="rId3"/>
    <sheet name="S1_S10_survey" sheetId="4" r:id="rId4"/>
    <sheet name="FGD_raw" sheetId="5" r:id="rId5"/>
    <sheet name="KII_raw" sheetId="6" r:id="rId6"/>
    <sheet name="FGD_recent_raw" sheetId="7" r:id="rId7"/>
    <sheet name="KII_recent_raw" sheetId="8" r:id="rId8"/>
  </sheets>
  <definedNames>
    <definedName name="_xlnm._FilterDatabase" localSheetId="6" hidden="1">FGD_recent_raw!$A$4:$F$159</definedName>
    <definedName name="_xlnm._FilterDatabase" localSheetId="7" hidden="1">KII_recent_raw!$A$4:$F$116</definedName>
    <definedName name="_xlnm._FilterDatabase" localSheetId="1" hidden="1">Q1_Q13_raw!$A$2:$AI$349</definedName>
    <definedName name="_xlnm._FilterDatabase" localSheetId="2" hidden="1">S1_S10_aggregate!$A$5:$P$69</definedName>
    <definedName name="_xlnm._FilterDatabase" localSheetId="3" hidden="1">S1_S10_survey!$A$1:$P$338</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9" i="3" l="1"/>
  <c r="K69" i="3"/>
  <c r="I69" i="3"/>
  <c r="M68" i="3"/>
  <c r="K68" i="3"/>
  <c r="I68" i="3"/>
  <c r="M67" i="3"/>
  <c r="K67" i="3"/>
  <c r="I67" i="3"/>
  <c r="M66" i="3"/>
  <c r="K66" i="3"/>
  <c r="I66" i="3"/>
  <c r="M65" i="3"/>
  <c r="K65" i="3"/>
  <c r="I65" i="3"/>
  <c r="M58" i="3"/>
  <c r="K58" i="3"/>
  <c r="I58" i="3"/>
  <c r="M57" i="3"/>
  <c r="K57" i="3"/>
  <c r="I57" i="3"/>
  <c r="M56" i="3"/>
  <c r="K56" i="3"/>
  <c r="I56" i="3"/>
  <c r="M55" i="3"/>
  <c r="K55" i="3"/>
  <c r="I55" i="3"/>
  <c r="M54" i="3"/>
  <c r="K54" i="3"/>
  <c r="I54" i="3"/>
  <c r="M49" i="3"/>
  <c r="K49" i="3"/>
  <c r="I49" i="3"/>
  <c r="M48" i="3"/>
  <c r="K48" i="3"/>
  <c r="I48" i="3"/>
  <c r="M47" i="3"/>
  <c r="K47" i="3"/>
  <c r="I47" i="3"/>
  <c r="M46" i="3"/>
  <c r="K46" i="3"/>
  <c r="I46" i="3"/>
  <c r="M43" i="3"/>
  <c r="K43" i="3"/>
  <c r="I43" i="3"/>
  <c r="M42" i="3"/>
  <c r="K42" i="3"/>
  <c r="I42" i="3"/>
  <c r="M41" i="3"/>
  <c r="K41" i="3"/>
  <c r="I41" i="3"/>
  <c r="M40" i="3"/>
  <c r="K40" i="3"/>
  <c r="I40" i="3"/>
  <c r="M39" i="3"/>
  <c r="K39" i="3"/>
  <c r="I39" i="3"/>
  <c r="M38" i="3"/>
  <c r="K38" i="3"/>
  <c r="I38" i="3"/>
  <c r="M37" i="3"/>
  <c r="K37" i="3"/>
  <c r="I37" i="3"/>
  <c r="M36" i="3"/>
  <c r="K36" i="3"/>
  <c r="I36" i="3"/>
  <c r="M35" i="3"/>
  <c r="K35" i="3"/>
  <c r="I35" i="3"/>
  <c r="M34" i="3"/>
  <c r="K34" i="3"/>
  <c r="I34" i="3"/>
  <c r="M33" i="3"/>
  <c r="K33" i="3"/>
  <c r="I33" i="3"/>
  <c r="M32" i="3"/>
  <c r="K32" i="3"/>
  <c r="I32" i="3"/>
  <c r="M31" i="3"/>
  <c r="K31" i="3"/>
  <c r="I31" i="3"/>
  <c r="M30" i="3"/>
  <c r="K30" i="3"/>
  <c r="I30" i="3"/>
  <c r="M29" i="3"/>
  <c r="K29" i="3"/>
  <c r="I29" i="3"/>
  <c r="M28" i="3"/>
  <c r="K28" i="3"/>
  <c r="I28" i="3"/>
  <c r="M27" i="3"/>
  <c r="K27" i="3"/>
  <c r="I27" i="3"/>
  <c r="M26" i="3"/>
  <c r="K26" i="3"/>
  <c r="I26" i="3"/>
  <c r="M25" i="3"/>
  <c r="K25" i="3"/>
  <c r="I25" i="3"/>
  <c r="M24" i="3"/>
  <c r="K24" i="3"/>
  <c r="I24" i="3"/>
  <c r="M23" i="3"/>
  <c r="K23" i="3"/>
  <c r="I23" i="3"/>
  <c r="M22" i="3"/>
  <c r="K22" i="3"/>
  <c r="I22" i="3"/>
  <c r="M21" i="3"/>
  <c r="K21" i="3"/>
  <c r="I21" i="3"/>
  <c r="M20" i="3"/>
  <c r="K20" i="3"/>
  <c r="I20" i="3"/>
  <c r="M19" i="3"/>
  <c r="K19" i="3"/>
  <c r="I19" i="3"/>
  <c r="M18" i="3"/>
  <c r="K18" i="3"/>
  <c r="I18" i="3"/>
  <c r="M17" i="3"/>
  <c r="K17" i="3"/>
  <c r="I17" i="3"/>
  <c r="M16" i="3"/>
  <c r="K16" i="3"/>
  <c r="I16" i="3"/>
  <c r="M15" i="3"/>
  <c r="K15" i="3"/>
  <c r="I15" i="3"/>
  <c r="M14" i="3"/>
  <c r="K14" i="3"/>
  <c r="I14" i="3"/>
  <c r="M12" i="3"/>
  <c r="K12" i="3"/>
  <c r="I12" i="3"/>
  <c r="M11" i="3"/>
  <c r="K11" i="3"/>
  <c r="I11" i="3"/>
  <c r="M10" i="3"/>
  <c r="K10" i="3"/>
  <c r="I10" i="3"/>
  <c r="M9" i="3"/>
  <c r="K9" i="3"/>
  <c r="I9" i="3"/>
  <c r="M8" i="3"/>
  <c r="K8" i="3"/>
  <c r="I8" i="3"/>
  <c r="M7" i="3"/>
  <c r="K7" i="3"/>
  <c r="I7" i="3"/>
  <c r="M6" i="3"/>
  <c r="K6" i="3"/>
  <c r="I6" i="3"/>
  <c r="O41" i="3" l="1"/>
  <c r="N41" i="3" s="1"/>
  <c r="O10" i="3"/>
  <c r="N10" i="3" s="1"/>
  <c r="O15" i="3"/>
  <c r="N15" i="3" s="1"/>
  <c r="O19" i="3"/>
  <c r="N19" i="3" s="1"/>
  <c r="O31" i="3"/>
  <c r="N31" i="3" s="1"/>
  <c r="O46" i="3"/>
  <c r="N46" i="3" s="1"/>
  <c r="O68" i="3"/>
  <c r="N68" i="3" s="1"/>
  <c r="O14" i="3"/>
  <c r="N14" i="3" s="1"/>
  <c r="O43" i="3"/>
  <c r="N43" i="3" s="1"/>
  <c r="O32" i="3"/>
  <c r="N32" i="3" s="1"/>
  <c r="O69" i="3"/>
  <c r="N69" i="3" s="1"/>
  <c r="O9" i="3"/>
  <c r="N9" i="3" s="1"/>
  <c r="O22" i="3"/>
  <c r="N22" i="3" s="1"/>
  <c r="O26" i="3"/>
  <c r="N26" i="3" s="1"/>
  <c r="O34" i="3"/>
  <c r="N34" i="3" s="1"/>
  <c r="O38" i="3"/>
  <c r="N38" i="3" s="1"/>
  <c r="O48" i="3"/>
  <c r="N48" i="3" s="1"/>
  <c r="O56" i="3"/>
  <c r="N56" i="3" s="1"/>
  <c r="O67" i="3"/>
  <c r="N67" i="3" s="1"/>
  <c r="O6" i="3"/>
  <c r="N6" i="3" s="1"/>
  <c r="O39" i="3"/>
  <c r="N39" i="3" s="1"/>
  <c r="O11" i="3"/>
  <c r="N11" i="3" s="1"/>
  <c r="O27" i="3"/>
  <c r="N27" i="3" s="1"/>
  <c r="O57" i="3"/>
  <c r="N57" i="3" s="1"/>
  <c r="O24" i="3"/>
  <c r="N24" i="3" s="1"/>
  <c r="O28" i="3"/>
  <c r="N28" i="3" s="1"/>
  <c r="O36" i="3"/>
  <c r="N36" i="3" s="1"/>
  <c r="O40" i="3"/>
  <c r="N40" i="3" s="1"/>
  <c r="O54" i="3"/>
  <c r="N54" i="3" s="1"/>
  <c r="O58" i="3"/>
  <c r="N58" i="3" s="1"/>
  <c r="O8" i="3"/>
  <c r="N8" i="3" s="1"/>
  <c r="O12" i="3"/>
  <c r="N12" i="3" s="1"/>
  <c r="O65" i="3"/>
  <c r="N65" i="3" s="1"/>
  <c r="O20" i="3"/>
  <c r="N20" i="3" s="1"/>
  <c r="O21" i="3"/>
  <c r="N21" i="3" s="1"/>
  <c r="O25" i="3"/>
  <c r="N25" i="3" s="1"/>
  <c r="O35" i="3"/>
  <c r="N35" i="3" s="1"/>
  <c r="O42" i="3"/>
  <c r="N42" i="3" s="1"/>
  <c r="O47" i="3"/>
  <c r="N47" i="3" s="1"/>
  <c r="O55" i="3"/>
  <c r="N55" i="3" s="1"/>
  <c r="O29" i="3"/>
  <c r="N29" i="3" s="1"/>
  <c r="O17" i="3"/>
  <c r="N17" i="3" s="1"/>
  <c r="O18" i="3"/>
  <c r="N18" i="3" s="1"/>
  <c r="O7" i="3"/>
  <c r="N7" i="3" s="1"/>
  <c r="O23" i="3"/>
  <c r="N23" i="3" s="1"/>
  <c r="O30" i="3"/>
  <c r="N30" i="3" s="1"/>
  <c r="O33" i="3"/>
  <c r="N33" i="3" s="1"/>
  <c r="O37" i="3"/>
  <c r="N37" i="3" s="1"/>
  <c r="O49" i="3"/>
  <c r="N49" i="3" s="1"/>
  <c r="O66" i="3"/>
  <c r="N66" i="3" s="1"/>
  <c r="O16" i="3"/>
  <c r="N16" i="3" s="1"/>
</calcChain>
</file>

<file path=xl/sharedStrings.xml><?xml version="1.0" encoding="utf-8"?>
<sst xmlns="http://schemas.openxmlformats.org/spreadsheetml/2006/main" count="17800" uniqueCount="2029">
  <si>
    <t>Someshwari River Sand Mining — Master Data Workbook v6</t>
  </si>
  <si>
    <t>Sheet</t>
  </si>
  <si>
    <t>Contents</t>
  </si>
  <si>
    <t>Data status</t>
  </si>
  <si>
    <t>N rows</t>
  </si>
  <si>
    <t>question_inventory</t>
  </si>
  <si>
    <t>Final core question inventory (51 items); recent KII/FGD field-form modules stored separately</t>
  </si>
  <si>
    <t>Reference</t>
  </si>
  <si>
    <t>Q1_Q13_raw</t>
  </si>
  <si>
    <t>Household survey Q1–Q13, all 347 respondents</t>
  </si>
  <si>
    <t>REAL — authoritative</t>
  </si>
  <si>
    <t>S1_S10_aggregate</t>
  </si>
  <si>
    <t>S1–S10 verified group-level percentages and counts</t>
  </si>
  <si>
    <t>REAL — verified aggregate</t>
  </si>
  <si>
    <t>S1_S10_synthetic</t>
  </si>
  <si>
    <t>S1–S10 generated respondent rows matching verified group marginals</t>
  </si>
  <si>
    <t>SYNTHETIC — not field data</t>
  </si>
  <si>
    <t>FGD_raw</t>
  </si>
  <si>
    <t>Focus group discussion advantage/disadvantage rankings</t>
  </si>
  <si>
    <t>REAL — partial (see notes)</t>
  </si>
  <si>
    <t>KII_raw</t>
  </si>
  <si>
    <t>Key informant interview profiles and verbatim economic responses</t>
  </si>
  <si>
    <t>FGD_recent_raw</t>
  </si>
  <si>
    <t>4 recently completed FGDs; metadata, rankings, show-of-hands, complaint paths, remedies, open rounds</t>
  </si>
  <si>
    <t>REAL — recent field forms</t>
  </si>
  <si>
    <t>KII_recent_raw</t>
  </si>
  <si>
    <t>4 recently completed KIIs; access/enforcement plus role-specific modules and open responses</t>
  </si>
  <si>
    <t>Sheet notes</t>
  </si>
  <si>
    <t>Note</t>
  </si>
  <si>
    <t>SM_Category (col D) de-formulaed to static text; Sheet1 corrupted re-export removed; values verbatim from original field file.</t>
  </si>
  <si>
    <t>N columns are now formulas =ROUND(pct*n,0). Mismatch flags restored: S8 and S9 response categories in the fielded data do not match the written questionnaire wording. S7 has 3 of 5 options relabelled.</t>
  </si>
  <si>
    <t>Generated from the verified S1–S10 occupational-group marginals. IDs SYN-0001 to SYN-0337 have no correspondence to household respondent IDs; within-row cross-item combinations are synthetic.</t>
  </si>
  <si>
    <t>Disadvantages_raw is empty except for FGD 1 rank ৩; that cell appears to be a column slip from the source document because the text is another advantage statement. FGDs 1–3 begin at rank ৩; ranks ১ and ২ are missing. Group composition (male/female/mixed) not recorded.</t>
  </si>
  <si>
    <t>Phone column truncated to last 4 digits. Full numbers remain in the source file FGD_KII.docx, which should not be distributed. Economic columns Q6–Q15 are verbatim text from the field forms.</t>
  </si>
  <si>
    <t>Verbatim/raw entries transcribed from the completed 4-FGD field-form file. Kept separate from the older partial FGD_raw because the instruments differ.</t>
  </si>
  <si>
    <t>Verbatim/raw entries transcribed from the completed 4-KII field-form file. Kept separate from the older KII_raw because the instruments differ.</t>
  </si>
  <si>
    <t>Core question inventory — household, supplementary, and initial FGD/KII instruments</t>
  </si>
  <si>
    <t>51 core questions/sub-items. The recently completed 4 KII + 4 FGD field-form modules are preserved separately in KII_recent_raw and FGD_recent_raw and are not duplicated here.</t>
  </si>
  <si>
    <t>ID</t>
  </si>
  <si>
    <t>Instrument</t>
  </si>
  <si>
    <t>Block / topic</t>
  </si>
  <si>
    <t>Question (verbatim or close paraphrase)</t>
  </si>
  <si>
    <t>Response type</t>
  </si>
  <si>
    <t>Data type</t>
  </si>
  <si>
    <t>Variable(s) in master</t>
  </si>
  <si>
    <t>HH-0a</t>
  </si>
  <si>
    <t>Household survey</t>
  </si>
  <si>
    <t>Respondent background</t>
  </si>
  <si>
    <t>Occupation (verbatim, free text)</t>
  </si>
  <si>
    <t>Free text, post-coded</t>
  </si>
  <si>
    <t>Categorical (3 groups)</t>
  </si>
  <si>
    <t>Occupation, SM_Category</t>
  </si>
  <si>
    <t>HH-0b</t>
  </si>
  <si>
    <t>Age</t>
  </si>
  <si>
    <t>Numerical</t>
  </si>
  <si>
    <t>Continuous</t>
  </si>
  <si>
    <t>HH-0c</t>
  </si>
  <si>
    <t>Gender</t>
  </si>
  <si>
    <t>Categorical</t>
  </si>
  <si>
    <t>Binary (M/F)</t>
  </si>
  <si>
    <t>Q1</t>
  </si>
  <si>
    <t>Livelihood impact</t>
  </si>
  <si>
    <t>Is any other money-generation activity being hampered due to sand mining?</t>
  </si>
  <si>
    <t>Yes / No</t>
  </si>
  <si>
    <t>Binary</t>
  </si>
  <si>
    <t>q1_Yes/No</t>
  </si>
  <si>
    <t>Q1-open</t>
  </si>
  <si>
    <t>If yes: which activities are hampered? (up to 3 named)</t>
  </si>
  <si>
    <t>Free text, up to 3 entries</t>
  </si>
  <si>
    <t>Open categorical</t>
  </si>
  <si>
    <t>q1_hamp_activity_1/2/3</t>
  </si>
  <si>
    <t>Q2</t>
  </si>
  <si>
    <t>Does sand mining cause any change in the professions of people in society?</t>
  </si>
  <si>
    <t>q2_prof_change (Yes/No)</t>
  </si>
  <si>
    <t>Q2-open</t>
  </si>
  <si>
    <t>If yes: why / how has the profession changed?</t>
  </si>
  <si>
    <t>Free text</t>
  </si>
  <si>
    <t>Open text</t>
  </si>
  <si>
    <t>q2_prof_change_comment</t>
  </si>
  <si>
    <t>Q3</t>
  </si>
  <si>
    <t>Perception</t>
  </si>
  <si>
    <t>Is the change in professions perceived as positive or negative within the community?</t>
  </si>
  <si>
    <t>Positive / Negative</t>
  </si>
  <si>
    <t>Binary ordinal</t>
  </si>
  <si>
    <t>q3_Positive or Negative</t>
  </si>
  <si>
    <t>Q3-open</t>
  </si>
  <si>
    <t>Why is it perceived that way?</t>
  </si>
  <si>
    <t>q3_Comment</t>
  </si>
  <si>
    <t>Q4</t>
  </si>
  <si>
    <t>Sustainability</t>
  </si>
  <si>
    <t>Is the change perceived as sustainable within the community?</t>
  </si>
  <si>
    <t>q4_Yes/No</t>
  </si>
  <si>
    <t>Q4-open</t>
  </si>
  <si>
    <t>Reasoning for sustainability assessment</t>
  </si>
  <si>
    <t>q4_Comment</t>
  </si>
  <si>
    <t>Q5</t>
  </si>
  <si>
    <t>Livelihood lock-in</t>
  </si>
  <si>
    <t>If not sustainable, can people get back to their original profession when sand mining stops?</t>
  </si>
  <si>
    <t>Yes / No / Uncertain</t>
  </si>
  <si>
    <t>Ternary</t>
  </si>
  <si>
    <t>q5_Yes/No/Uncertain</t>
  </si>
  <si>
    <t>Q5-open</t>
  </si>
  <si>
    <t>What would they do if they could not return?</t>
  </si>
  <si>
    <t>q5_comment</t>
  </si>
  <si>
    <t>Q6</t>
  </si>
  <si>
    <t>Conflict</t>
  </si>
  <si>
    <t>Is there any conflict within the community concerning perceptions of the advantages and disadvantages of sand mining?</t>
  </si>
  <si>
    <t>q6_Yes/No</t>
  </si>
  <si>
    <t>Q6-open</t>
  </si>
  <si>
    <t>Sources of conflict (up to 3 named)</t>
  </si>
  <si>
    <t>q6_Source1/2/3</t>
  </si>
  <si>
    <t>Q6-cmt</t>
  </si>
  <si>
    <t>Additional comment on conflict</t>
  </si>
  <si>
    <t>q6_Comment</t>
  </si>
  <si>
    <t>Q7</t>
  </si>
  <si>
    <t>Environmental impact</t>
  </si>
  <si>
    <t>Has sand mining impacted agricultural production (sedimentation, erosion, land loss, water quality)?</t>
  </si>
  <si>
    <t>q7_Yes/No</t>
  </si>
  <si>
    <t>Q7-open</t>
  </si>
  <si>
    <t>Named impacts on agriculture (up to 3)</t>
  </si>
  <si>
    <t>q7_Impacts1/2/3</t>
  </si>
  <si>
    <t>Q7-cmt</t>
  </si>
  <si>
    <t>Additional comment on agricultural impact</t>
  </si>
  <si>
    <t>q7_comment</t>
  </si>
  <si>
    <t>Q8</t>
  </si>
  <si>
    <t>What is the extent of damage to agricultural land?</t>
  </si>
  <si>
    <t>Mild / Moderate / Severe / Very severe</t>
  </si>
  <si>
    <t>Ordinal (4-point)</t>
  </si>
  <si>
    <t>q8_Mild/Moderate/Severe/Very severe</t>
  </si>
  <si>
    <t>Q9</t>
  </si>
  <si>
    <t>Water quality</t>
  </si>
  <si>
    <t>Has there been any perceived change in river water quality due to sand mining?</t>
  </si>
  <si>
    <t>q9_Yes/No</t>
  </si>
  <si>
    <t>Q10</t>
  </si>
  <si>
    <t>Gender — labour</t>
  </si>
  <si>
    <t>Involvement of female miners: how many are female in every 10 labourers?</t>
  </si>
  <si>
    <t>Numerical (0–10)</t>
  </si>
  <si>
    <t>Continuous / count</t>
  </si>
  <si>
    <t>q10_Numerical Value</t>
  </si>
  <si>
    <t>Q11</t>
  </si>
  <si>
    <t>Gender — pay</t>
  </si>
  <si>
    <t>Does sand mining have gender issues such as lower salary for women?</t>
  </si>
  <si>
    <t>q11_Yes/No</t>
  </si>
  <si>
    <t>Q12</t>
  </si>
  <si>
    <t>Gender — safety</t>
  </si>
  <si>
    <t>Does sand mining have gender issues such as harassment in the workplace?</t>
  </si>
  <si>
    <t>q12_Yes/No</t>
  </si>
  <si>
    <t>Q13</t>
  </si>
  <si>
    <t>Gender — roles</t>
  </si>
  <si>
    <t>What different roles do males and females play in the overall sand extraction scheme?</t>
  </si>
  <si>
    <t>Open text (thematically coded)</t>
  </si>
  <si>
    <t>q13_Comment</t>
  </si>
  <si>
    <t>S1</t>
  </si>
  <si>
    <t>Supplementary survey</t>
  </si>
  <si>
    <t>Power and governance</t>
  </si>
  <si>
    <t>Who controls access to sand mining sites in your area?</t>
  </si>
  <si>
    <t>Single select (5 options)</t>
  </si>
  <si>
    <t>Nominal categorical</t>
  </si>
  <si>
    <t>S1_access_control</t>
  </si>
  <si>
    <t>S2</t>
  </si>
  <si>
    <t>Are you aware of any official permits or regulations for sand mining here?</t>
  </si>
  <si>
    <t>Single select (3 options)</t>
  </si>
  <si>
    <t>S2_permit_awareness</t>
  </si>
  <si>
    <t>S3</t>
  </si>
  <si>
    <t>If yes (S2), are those regulations enforced?</t>
  </si>
  <si>
    <t>Single select (4 options)</t>
  </si>
  <si>
    <t>Ordinal (frequency)</t>
  </si>
  <si>
    <t>S3_enforcement</t>
  </si>
  <si>
    <t>S4</t>
  </si>
  <si>
    <t>Have you or anyone you know ever tried to raise a complaint about sand mining? What happened?</t>
  </si>
  <si>
    <t>S4_complaint</t>
  </si>
  <si>
    <t>S5</t>
  </si>
  <si>
    <t>How fairly are the economic benefits of sand mining distributed in your community?</t>
  </si>
  <si>
    <t>Ordinal (fairness scale)</t>
  </si>
  <si>
    <t>S5_fairness</t>
  </si>
  <si>
    <t>S6a</t>
  </si>
  <si>
    <t>Temporal change</t>
  </si>
  <si>
    <t>Compared to 5 years ago, how has riverbank erosion changed?</t>
  </si>
  <si>
    <t>Single select (Increased / Same / Decreased)</t>
  </si>
  <si>
    <t>Ordinal (direction)</t>
  </si>
  <si>
    <t>S6a_erosion</t>
  </si>
  <si>
    <t>S6b</t>
  </si>
  <si>
    <t>Compared to 5 years ago, how has agricultural productivity nearby changed?</t>
  </si>
  <si>
    <t>S6b_agri_productivity</t>
  </si>
  <si>
    <t>S6c</t>
  </si>
  <si>
    <t>Compared to 5 years ago, how has fish availability changed?</t>
  </si>
  <si>
    <t>S6c_fish_availability</t>
  </si>
  <si>
    <t>S6d</t>
  </si>
  <si>
    <t>Compared to 5 years ago, how has community conflict over mining changed?</t>
  </si>
  <si>
    <t>S6d_conflict</t>
  </si>
  <si>
    <t>S6e</t>
  </si>
  <si>
    <t>Compared to 5 years ago, how has job availability in the area changed?</t>
  </si>
  <si>
    <t>S6e_job_availability</t>
  </si>
  <si>
    <t>S7</t>
  </si>
  <si>
    <t>Attribution — environment</t>
  </si>
  <si>
    <t>What do you think is the single biggest cause of any environmental change you have seen along the river?</t>
  </si>
  <si>
    <t>S7_env_cause</t>
  </si>
  <si>
    <t>S8</t>
  </si>
  <si>
    <t>Attribution — livelihood</t>
  </si>
  <si>
    <t>What do you think is the single biggest cause of any livelihood change in your community?</t>
  </si>
  <si>
    <t>S8_livelihood_cause</t>
  </si>
  <si>
    <t>S9</t>
  </si>
  <si>
    <t>Threshold</t>
  </si>
  <si>
    <t>Under what condition would sand mining become unacceptable to you?</t>
  </si>
  <si>
    <t>Single select (6 options)</t>
  </si>
  <si>
    <t>S9_threshold</t>
  </si>
  <si>
    <t>S10</t>
  </si>
  <si>
    <t>What one change would make sand mining sustainable in your area?</t>
  </si>
  <si>
    <t>Open-ended (post-coded)</t>
  </si>
  <si>
    <t>Open text / nominal</t>
  </si>
  <si>
    <t>S10_remedy_code</t>
  </si>
  <si>
    <t>FGD-1</t>
  </si>
  <si>
    <t>Focus group discussion</t>
  </si>
  <si>
    <t>Advantages and disadvantages</t>
  </si>
  <si>
    <t>List and rank the advantages of sand mining for your community (livelihood, health, environment)</t>
  </si>
  <si>
    <t>Group ranking exercise</t>
  </si>
  <si>
    <t>Ordinal ranking</t>
  </si>
  <si>
    <t>FGD_raw: Advantages_raw</t>
  </si>
  <si>
    <t>FGD-2</t>
  </si>
  <si>
    <t>List and rank the disadvantages of sand mining for your community (livelihood, health, environment)</t>
  </si>
  <si>
    <t>FGD_raw: Disadvantages_raw</t>
  </si>
  <si>
    <t>KII-D</t>
  </si>
  <si>
    <t>Key informant interview</t>
  </si>
  <si>
    <t>Informant background</t>
  </si>
  <si>
    <t>Age band, gender, marital status, children, religion, education, occupation, years in sand business</t>
  </si>
  <si>
    <t>Structured tick-box</t>
  </si>
  <si>
    <t>Mixed categorical</t>
  </si>
  <si>
    <t>KII_raw cols 1–14</t>
  </si>
  <si>
    <t>KII-Q5</t>
  </si>
  <si>
    <t>Sand market</t>
  </si>
  <si>
    <t>Does the price of sand vary seasonally?</t>
  </si>
  <si>
    <t>KII_raw: Price_varies_by_season</t>
  </si>
  <si>
    <t>KII-Q6</t>
  </si>
  <si>
    <t>List the pricing of different qualities of sand in the local market by season</t>
  </si>
  <si>
    <t>Table: grade × season</t>
  </si>
  <si>
    <t>Structured open (semi-quantitative)</t>
  </si>
  <si>
    <t>KII_raw: Q6_prices_raw</t>
  </si>
  <si>
    <t>KII-Q7</t>
  </si>
  <si>
    <t>Value chain</t>
  </si>
  <si>
    <t>List the stakeholders related to the sand mining scenario</t>
  </si>
  <si>
    <t>Open list</t>
  </si>
  <si>
    <t>KII_raw: Q7_stakeholders_raw</t>
  </si>
  <si>
    <t>KII-Q8</t>
  </si>
  <si>
    <t>How much money goes to each stakeholder per unit of sand (monthly)?</t>
  </si>
  <si>
    <t>Table: stakeholder × earnings</t>
  </si>
  <si>
    <t>Structured quantitative</t>
  </si>
  <si>
    <t>KII_raw: Q8_money_to_stakeholders_raw</t>
  </si>
  <si>
    <t>KII-Q9</t>
  </si>
  <si>
    <t>How much does it cost to transport sand from the mining site to construction sites per unit?</t>
  </si>
  <si>
    <t>Numerical (BDT)</t>
  </si>
  <si>
    <t>Quantitative</t>
  </si>
  <si>
    <t>KII_raw: Q9_transport_cost_raw</t>
  </si>
  <si>
    <t>KII-Q10</t>
  </si>
  <si>
    <t>Governance</t>
  </si>
  <si>
    <t>Do you think the government is losing revenue because of illegal sand mining?</t>
  </si>
  <si>
    <t>KII_raw: Q10_government_revenue_loss_raw</t>
  </si>
  <si>
    <t>KII-Q12</t>
  </si>
  <si>
    <t>What is the price of exported aggregates by type?</t>
  </si>
  <si>
    <t>Table: aggregate type × price</t>
  </si>
  <si>
    <t>KII_raw: Q12_exported_aggregates_raw</t>
  </si>
  <si>
    <t>KII-Q14</t>
  </si>
  <si>
    <t>Operations</t>
  </si>
  <si>
    <t>What kinds of equipment and machinery are used for sand extraction?</t>
  </si>
  <si>
    <t>Open list with description</t>
  </si>
  <si>
    <t>KII_raw: Q14_equipment_raw</t>
  </si>
  <si>
    <t>KII-Q15</t>
  </si>
  <si>
    <t>What volume of sand does each machine extract per day?</t>
  </si>
  <si>
    <t>Table: machine × volume</t>
  </si>
  <si>
    <t>KII_raw: Q15_volume_raw</t>
  </si>
  <si>
    <t>General Information</t>
  </si>
  <si>
    <t>q1. Is any  other money generation activity being hampared due to sand mining ?( For example- Fishing, Crop Production etc. ) If yes, lets make a list of such activities.</t>
  </si>
  <si>
    <t xml:space="preserve">q2. Does and mining cause any change in the professions of the people in society? (Farmers or other local people may turn to sand mining if income is higher- but this may not be sustainable because sand mining in that area might only be a temporary activity)  </t>
  </si>
  <si>
    <t>q3. Is this change perceived as positive or negative within the community?</t>
  </si>
  <si>
    <t>q4. Is this change perceived as sustainable within the community?</t>
  </si>
  <si>
    <t>q5. If not sustainable, can people get back to their original profession when sand mining is no longer an option?</t>
  </si>
  <si>
    <t>q6. Is there any conflict within the community concerning perception of the advantages and disadvantages of sand mining? What are the sources of these conflict (for example, lack of understanding and social unawareness of any other reason)?</t>
  </si>
  <si>
    <t>q7. Has sand mining impacted agricultural production in the area? (enhanced sedimentation, deposition of finer sediments)?</t>
  </si>
  <si>
    <t>q8. What is the extent of such samage to agricultural land?</t>
  </si>
  <si>
    <t>q9. Has there been any perceived change in river water quality due to  sand mining?</t>
  </si>
  <si>
    <t>q10. Involvement of female miners (how many are female in every 10 labourers)</t>
  </si>
  <si>
    <t>q11. Does sand mining have any such gender issues such as less salary?</t>
  </si>
  <si>
    <t xml:space="preserve">q12. Does sand mining have any such gender issues such as harassment in the workplace? </t>
  </si>
  <si>
    <t>q13. What different types of role male and females play in the overall sand extraction scheme?</t>
  </si>
  <si>
    <t>Respond ent_ID</t>
  </si>
  <si>
    <t>Survey_Type</t>
  </si>
  <si>
    <t>Occupation</t>
  </si>
  <si>
    <t>SM_Category</t>
  </si>
  <si>
    <t>q1_hamp_activity_1</t>
  </si>
  <si>
    <t>q1_hamp_activity_2</t>
  </si>
  <si>
    <t>q1_hamp_activity_3</t>
  </si>
  <si>
    <t>q6_Source1</t>
  </si>
  <si>
    <t>q6_Source2</t>
  </si>
  <si>
    <t>q6_Source3</t>
  </si>
  <si>
    <t>q7_Impacts1</t>
  </si>
  <si>
    <t>q7_Impacts2</t>
  </si>
  <si>
    <t>q7_Impacts3</t>
  </si>
  <si>
    <t>General Comment</t>
  </si>
  <si>
    <t>QS</t>
  </si>
  <si>
    <t>Dredger laborer</t>
  </si>
  <si>
    <t>Core SM</t>
  </si>
  <si>
    <t>Male</t>
  </si>
  <si>
    <t>Yes</t>
  </si>
  <si>
    <t xml:space="preserve">Coal </t>
  </si>
  <si>
    <t>Stone</t>
  </si>
  <si>
    <t>_</t>
  </si>
  <si>
    <t>higher income, more than other types of mining</t>
  </si>
  <si>
    <t>Positive</t>
  </si>
  <si>
    <t>No</t>
  </si>
  <si>
    <t>Unknown</t>
  </si>
  <si>
    <t>Previously, roles were individual-oriented, but now they have become more group-oriented.</t>
  </si>
  <si>
    <t>Coal</t>
  </si>
  <si>
    <t>Fishing</t>
  </si>
  <si>
    <t>Good income from stone</t>
  </si>
  <si>
    <t>Negative</t>
  </si>
  <si>
    <t>Not allowed by the sand miners</t>
  </si>
  <si>
    <t>Farming-land</t>
  </si>
  <si>
    <t>River-eroson</t>
  </si>
  <si>
    <t>Moderate</t>
  </si>
  <si>
    <t>Men and Women work same,No disequality.</t>
  </si>
  <si>
    <t>Farmer</t>
  </si>
  <si>
    <t>Higher Income</t>
  </si>
  <si>
    <t>Leave the area, mix works (original profession, other type of job)</t>
  </si>
  <si>
    <t>All play similar role in mining, speciall.</t>
  </si>
  <si>
    <t>China clay</t>
  </si>
  <si>
    <t>Border conflict(BSF)</t>
  </si>
  <si>
    <t>Local conflict</t>
  </si>
  <si>
    <t>Cannot farm</t>
  </si>
  <si>
    <t>Mild</t>
  </si>
  <si>
    <t>Farming</t>
  </si>
  <si>
    <t>Stone, Fishing</t>
  </si>
  <si>
    <t>Tourism</t>
  </si>
  <si>
    <t xml:space="preserve">Mix options, some will leave the place </t>
  </si>
  <si>
    <t>Agricultural production is unaffected due to the presence of embankments.</t>
  </si>
  <si>
    <t>Males and females have different roles in sand extraction.</t>
  </si>
  <si>
    <t>N/A</t>
  </si>
  <si>
    <t>Women coal workers, shopkeepers, and men are all involved in the sand business</t>
  </si>
  <si>
    <t>Tea Shopkeeper</t>
  </si>
  <si>
    <t>Non-Related</t>
  </si>
  <si>
    <t>Wood</t>
  </si>
  <si>
    <t>Coal, Farming</t>
  </si>
  <si>
    <t>Sand mining shifted from labor to machines, lowering laborers’ income</t>
  </si>
  <si>
    <t>Women are engaged in coal and stone-related work</t>
  </si>
  <si>
    <t>Loader</t>
  </si>
  <si>
    <t>Use of more dredgers increased sand output and income, seen as positive by locals</t>
  </si>
  <si>
    <t>Men mostly operate dredgers and transport sand; women are involved in coal and stone work</t>
  </si>
  <si>
    <t>Dredger Manager</t>
  </si>
  <si>
    <t>Higher income than before</t>
  </si>
  <si>
    <t>Positive change with more workforce</t>
  </si>
  <si>
    <t>If sand mining stops, laborers may shift to other jobs or migrate; investors may face financial loss.</t>
  </si>
  <si>
    <t>30% of agricultural land has been lost</t>
  </si>
  <si>
    <t>3/4</t>
  </si>
  <si>
    <t>Women are involved in lifting sand with spades and filtering it using sieves</t>
  </si>
  <si>
    <t>Tea Stall</t>
  </si>
  <si>
    <t>Sand mining has led to high incom</t>
  </si>
  <si>
    <t>This change may last for 2 to 4 years</t>
  </si>
  <si>
    <t>Yes, people can return to their original professions such as farming and fishing once sand mining is no longer available</t>
  </si>
  <si>
    <t>No impact reported. Agricultural condition is better than before. Sediment does not cause crop damage</t>
  </si>
  <si>
    <t>2/3</t>
  </si>
  <si>
    <t>Women are mainly involved in household chores, including cooking</t>
  </si>
  <si>
    <t>Dredging businessman</t>
  </si>
  <si>
    <t>However, machine owners and investors may not return easily</t>
  </si>
  <si>
    <t>Due to dredging, the river depth is increasing</t>
  </si>
  <si>
    <t>Females are involved in tasks like cleaning sieves and managing small shops, while males handle heavy labor and machinery</t>
  </si>
  <si>
    <t>Ferming</t>
  </si>
  <si>
    <t>No impact reported during mining; effects existed before mining began</t>
  </si>
  <si>
    <t>dredger worker</t>
  </si>
  <si>
    <t>River depth has affected agriculture; coal unavailability led to occupation change</t>
  </si>
  <si>
    <t>Enhanced sedimentation</t>
  </si>
  <si>
    <t>Soil layering</t>
  </si>
  <si>
    <t>Reduced crop yield</t>
  </si>
  <si>
    <t>Farming activities have been impacted by sediment accumulation</t>
  </si>
  <si>
    <t>Severe</t>
  </si>
  <si>
    <t>Women are engaged in coal work</t>
  </si>
  <si>
    <t>Employee of a moneylender</t>
  </si>
  <si>
    <t>Cultivation</t>
  </si>
  <si>
    <t>Has become financially successful</t>
  </si>
  <si>
    <t>Without coal, farming won't be possible</t>
  </si>
  <si>
    <t>Local mild crisis</t>
  </si>
  <si>
    <t>The river water was clean before sand extraction</t>
  </si>
  <si>
    <t>Women clean coal using sieves</t>
  </si>
  <si>
    <t>Labor improvement due to machine orientation</t>
  </si>
  <si>
    <t>If stone and coal are allowed, development will follow</t>
  </si>
  <si>
    <t>The poor are not permitted to sell coal and stone</t>
  </si>
  <si>
    <t>Mix</t>
  </si>
  <si>
    <t>but without access to labour, farming, and coal, returning to original professions will be difficult</t>
  </si>
  <si>
    <t>Machine Worker</t>
  </si>
  <si>
    <t>farming is unprofitable, most remain unemployed</t>
  </si>
  <si>
    <t>Income of Farongpara residents mainly comes from sand extraction and transport, creating local employment.</t>
  </si>
  <si>
    <t>Sand Laborer</t>
  </si>
  <si>
    <t>Many people in Nilphamari will be able to return to farming</t>
  </si>
  <si>
    <t>Coal extraction hasn’t significantly affected farming here</t>
  </si>
  <si>
    <t>dredger operator</t>
  </si>
  <si>
    <t>Extracting sand using a small machine</t>
  </si>
  <si>
    <t>Many people can return to their previous jobs or take up other work such as shopkeeping or labor</t>
  </si>
  <si>
    <t>There is no connection between the river and agriculture</t>
  </si>
  <si>
    <t>W/A</t>
  </si>
  <si>
    <t>general businesman</t>
  </si>
  <si>
    <t>Income is higher from coal</t>
  </si>
  <si>
    <t>Maybe not farming, business</t>
  </si>
  <si>
    <t>Problems faced by people living upstream of the river</t>
  </si>
  <si>
    <t>Mild problem</t>
  </si>
  <si>
    <t>The organization filed a case anticipating minor losses in the future</t>
  </si>
  <si>
    <t>Previous political unrest</t>
  </si>
  <si>
    <t>Dredger Owner</t>
  </si>
  <si>
    <t>Job in the garment industry</t>
  </si>
  <si>
    <t>Income due to royalty</t>
  </si>
  <si>
    <t>1st 2 year</t>
  </si>
  <si>
    <t xml:space="preserve"> No</t>
  </si>
  <si>
    <t xml:space="preserve">No other business,farming </t>
  </si>
  <si>
    <t>Extortion – previously L, now X</t>
  </si>
  <si>
    <t>No flood for sand business</t>
  </si>
  <si>
    <t>No Information</t>
  </si>
  <si>
    <t>Sand mining can reduce unemployment, crime, addiction, and theft</t>
  </si>
  <si>
    <t>shopkeeper</t>
  </si>
  <si>
    <t>Profit from coal business</t>
  </si>
  <si>
    <t>Maybe coal has decreased compared to before</t>
  </si>
  <si>
    <t>Not known</t>
  </si>
  <si>
    <t>Where there is no water, women extract coal; where there is water, men extract coal</t>
  </si>
  <si>
    <t>Machine operation</t>
  </si>
  <si>
    <t>Income save</t>
  </si>
  <si>
    <t>Damage in the area(Probability),Land erosion</t>
  </si>
  <si>
    <t>Government’s benefit – free dredging leading to income and net profit</t>
  </si>
  <si>
    <t>Rickshaw</t>
  </si>
  <si>
    <t>Will migrate within 70 feet</t>
  </si>
  <si>
    <t>Political stable</t>
  </si>
  <si>
    <t>Extortion has stopped</t>
  </si>
  <si>
    <t>Flood prevented</t>
  </si>
  <si>
    <t>3/5</t>
  </si>
  <si>
    <t xml:space="preserve">Job </t>
  </si>
  <si>
    <t>Mason as per convenience</t>
  </si>
  <si>
    <t>Due to the ongoing process and the risk of river deepening, a legal case has been filed</t>
  </si>
  <si>
    <t>Accounts and calculations</t>
  </si>
  <si>
    <t>High expenses, low income</t>
  </si>
  <si>
    <t>It was better 3/4 years ago</t>
  </si>
  <si>
    <t>Study, small business</t>
  </si>
  <si>
    <t>Coal is extracted if there is no flood</t>
  </si>
  <si>
    <t>Coal is located very deep, and the river is deep as well</t>
  </si>
  <si>
    <t>A legal case from the U.S. regarding mission damage caused by procedural activities</t>
  </si>
  <si>
    <t>Women remove sand and do household tasks like cooking</t>
  </si>
  <si>
    <t>Machine maintenance</t>
  </si>
  <si>
    <t>Other job</t>
  </si>
  <si>
    <t>River closure leads to unemployment among people</t>
  </si>
  <si>
    <t>Women work in shifts; men do not follow shift-based work</t>
  </si>
  <si>
    <t>Bamboo Trader</t>
  </si>
  <si>
    <t>Bamboo-based business</t>
  </si>
  <si>
    <t>Coal, Stone</t>
  </si>
  <si>
    <t>Supply to other areas</t>
  </si>
  <si>
    <t>Sand mining prevents flood erosion</t>
  </si>
  <si>
    <t>Sand extraction by hand</t>
  </si>
  <si>
    <t>Stone quarry in Sylhet offers higher wages</t>
  </si>
  <si>
    <t>Farming work</t>
  </si>
  <si>
    <t>Sylhet higher income</t>
  </si>
  <si>
    <t>Any other job</t>
  </si>
  <si>
    <t>Tractor owner</t>
  </si>
  <si>
    <t>Stone business</t>
  </si>
  <si>
    <t>Go back to Sylhet for survival</t>
  </si>
  <si>
    <t>Sand mining creates employment; without it, unemployment may rise</t>
  </si>
  <si>
    <t>Dredger worker</t>
  </si>
  <si>
    <t>Trawler(Sand business)</t>
  </si>
  <si>
    <t>Profitable business using trawler</t>
  </si>
  <si>
    <t>Maybe based on River</t>
  </si>
  <si>
    <t>Loss of beauty,Water pollution</t>
  </si>
  <si>
    <t>Risk of riverbank erosion</t>
  </si>
  <si>
    <t>Extortion is no longer present</t>
  </si>
  <si>
    <t>__</t>
  </si>
  <si>
    <t>If the business stops, agriculture won’t be harmed — but if it continues, it will</t>
  </si>
  <si>
    <t>Business(Puffed rice seller)</t>
  </si>
  <si>
    <t>Household work</t>
  </si>
  <si>
    <t xml:space="preserve"> Coal is extracted during the rainy season</t>
  </si>
  <si>
    <t>Coal income more</t>
  </si>
  <si>
    <t>If there’s a water surge, work will begin and coal will be received</t>
  </si>
  <si>
    <t>Dredger Worker</t>
  </si>
  <si>
    <t>Some gain, some suffer — profit from smuggling goods from India</t>
  </si>
  <si>
    <t>Farming or smuggling</t>
  </si>
  <si>
    <t>Before political crisis, now okay</t>
  </si>
  <si>
    <t>Clash with local residents</t>
  </si>
  <si>
    <t>Limited damage</t>
  </si>
  <si>
    <t>Earth-cutting work</t>
  </si>
  <si>
    <t xml:space="preserve">There was trouble before </t>
  </si>
  <si>
    <t>When the dredger doesn’t operate, sand is manually collected during monsoon using shovels and laborers</t>
  </si>
  <si>
    <t>If the dredger doesn’t operate, the river remains healthy</t>
  </si>
  <si>
    <t>Houses along the riverbank collapsed,soil erosion</t>
  </si>
  <si>
    <t xml:space="preserve">Fish </t>
  </si>
  <si>
    <t>Coal will last for 5–6 years</t>
  </si>
  <si>
    <t>Unloading from vehicle to truck</t>
  </si>
  <si>
    <t xml:space="preserve">Dredger Worker </t>
  </si>
  <si>
    <t>Migrate from Sylhet</t>
  </si>
  <si>
    <t>Truck labor</t>
  </si>
  <si>
    <t>Linked to SM</t>
  </si>
  <si>
    <t>Good and bad</t>
  </si>
  <si>
    <t>Will extract coal</t>
  </si>
  <si>
    <t>Voltar driver</t>
  </si>
  <si>
    <t>company-related</t>
  </si>
  <si>
    <t>But temporary</t>
  </si>
  <si>
    <t>changeable</t>
  </si>
  <si>
    <t>Conflic</t>
  </si>
  <si>
    <t>A case has been filed</t>
  </si>
  <si>
    <t xml:space="preserve">Mild </t>
  </si>
  <si>
    <t xml:space="preserve">No </t>
  </si>
  <si>
    <t xml:space="preserve">No Information </t>
  </si>
  <si>
    <t>Dredger Operator</t>
  </si>
  <si>
    <t xml:space="preserve">Farming </t>
  </si>
  <si>
    <t>Raw material business</t>
  </si>
  <si>
    <t>It won’t last long</t>
  </si>
  <si>
    <t>The unemployed will go</t>
  </si>
  <si>
    <t>Trying to obstruct</t>
  </si>
  <si>
    <t>There is no impact on soil structure and agricultural production</t>
  </si>
  <si>
    <t>Coal cannot be extracted</t>
  </si>
  <si>
    <t>Fish</t>
  </si>
  <si>
    <t>People used to consume drugs in the past, but now they do so less frequently</t>
  </si>
  <si>
    <t>Sand cannot be extracted after a few days</t>
  </si>
  <si>
    <t>A case was filed</t>
  </si>
  <si>
    <t>Machine technician</t>
  </si>
  <si>
    <t>Female</t>
  </si>
  <si>
    <t>The household has been ruined</t>
  </si>
  <si>
    <t>student</t>
  </si>
  <si>
    <t>Farmer, Fishing</t>
  </si>
  <si>
    <t>We face many problems; there is a lot of noise</t>
  </si>
  <si>
    <t>There was a fight</t>
  </si>
  <si>
    <t>Case</t>
  </si>
  <si>
    <t>Very Severe</t>
  </si>
  <si>
    <t>It will be stopped from the month of Boishakh</t>
  </si>
  <si>
    <t>Many are filing cases</t>
  </si>
  <si>
    <t>Encirclemen</t>
  </si>
  <si>
    <t>"There are 2 people working in coal, and no women in sand mining</t>
  </si>
  <si>
    <t>There was variation during the coal period; women do not work in sand mining</t>
  </si>
  <si>
    <t>Both good and bad things happen, but the good outweighs the bad</t>
  </si>
  <si>
    <t>Fight</t>
  </si>
  <si>
    <t>case</t>
  </si>
  <si>
    <t>The local people were gheraoing the officials</t>
  </si>
  <si>
    <t>People cannot cultivate paddy or vegetables</t>
  </si>
  <si>
    <t>Farming household</t>
  </si>
  <si>
    <t>It will be closed</t>
  </si>
  <si>
    <t>Unemployment will increase</t>
  </si>
  <si>
    <t>No damage is occurring</t>
  </si>
  <si>
    <t>Coal has been extracted in large quantity</t>
  </si>
  <si>
    <t>Unemployment is decreasing</t>
  </si>
  <si>
    <t>It will decrease eventually</t>
  </si>
  <si>
    <t>There is disagreement</t>
  </si>
  <si>
    <t>There is no problem</t>
  </si>
  <si>
    <t>The fish is extinct</t>
  </si>
  <si>
    <t>Hill destruction</t>
  </si>
  <si>
    <t>Both positive and negative aspects are present; there are problems with roads and infrastructure."</t>
  </si>
  <si>
    <t>It is not permanent; the sand will eventually run out</t>
  </si>
  <si>
    <t>Can surely do it</t>
  </si>
  <si>
    <t>Demonstration occurred</t>
  </si>
  <si>
    <t>Due to riverbank erosion, land is being destroyed</t>
  </si>
  <si>
    <t>Ordinary people have been affected</t>
  </si>
  <si>
    <t>Damage is occurring because nature is being destroyed</t>
  </si>
  <si>
    <t>If the government wants, it will stay; if not, it won't</t>
  </si>
  <si>
    <t>Not happening</t>
  </si>
  <si>
    <t>No Idea</t>
  </si>
  <si>
    <t>Employment has been created for the unemployed</t>
  </si>
  <si>
    <t>Ordinary people are benefiting</t>
  </si>
  <si>
    <t>There is a possibility it may not happen</t>
  </si>
  <si>
    <t>As far as we know, there was no problem</t>
  </si>
  <si>
    <t>No, rather things are improving</t>
  </si>
  <si>
    <t>Someone used to drive a rickshaw</t>
  </si>
  <si>
    <t>No overload is occurring, and no problem is happening</t>
  </si>
  <si>
    <t>On the condition of government lease</t>
  </si>
  <si>
    <t>There is no such thing</t>
  </si>
  <si>
    <t>Many have become new entrepreneurs</t>
  </si>
  <si>
    <t>People are benefiting from river dredging</t>
  </si>
  <si>
    <t>No difficulty is occurring in agriculture</t>
  </si>
  <si>
    <t>Local people are able to earn</t>
  </si>
  <si>
    <t xml:space="preserve"> Yes</t>
  </si>
  <si>
    <t>Coal extraction</t>
  </si>
  <si>
    <t>Previously, he/she used to do farming and load/unload goods from vehicles</t>
  </si>
  <si>
    <t>Water is not available for rice cultivation</t>
  </si>
  <si>
    <t>The sand will run out</t>
  </si>
  <si>
    <t>Local people do not engage in quarrels</t>
  </si>
  <si>
    <t>Water is not available, and the river is being destroyed</t>
  </si>
  <si>
    <t>Household</t>
  </si>
  <si>
    <t>Local people are facing severe hardship</t>
  </si>
  <si>
    <t>The river port will be shut down</t>
  </si>
  <si>
    <t>No problem occurred</t>
  </si>
  <si>
    <t>N0</t>
  </si>
  <si>
    <t>The homestead land is far from the sand extraction site</t>
  </si>
  <si>
    <t>Both exist—some are benefiting, while others are being harmed</t>
  </si>
  <si>
    <t>A case was filed, and it was done by the school authorities</t>
  </si>
  <si>
    <t>It will be finished in a few days</t>
  </si>
  <si>
    <t>Someone died in the clash</t>
  </si>
  <si>
    <t>Completely destroyed</t>
  </si>
  <si>
    <t>Pharmacist</t>
  </si>
  <si>
    <t>Previously, people could extract freely, but now they have to pay royalty</t>
  </si>
  <si>
    <t>More changes have been made with the intention of higher income</t>
  </si>
  <si>
    <t>Environmental damage caused by sand extraction</t>
  </si>
  <si>
    <t>It creates unemployment</t>
  </si>
  <si>
    <t>A movement was organized to demand an alternative route</t>
  </si>
  <si>
    <t>Sand conservation is damaging agricultural land</t>
  </si>
  <si>
    <t>Farmer's problems</t>
  </si>
  <si>
    <t>There are no fish in the river</t>
  </si>
  <si>
    <t>People are drowning due to the depth of the water</t>
  </si>
  <si>
    <t>Due to lack of development in the area, people's homes are being destroyed by river erosion</t>
  </si>
  <si>
    <t>One day, it will come to an end</t>
  </si>
  <si>
    <t>We, the ordinary people, cannot engage in rivalry</t>
  </si>
  <si>
    <t>The problem is occurring because the river water is stuck</t>
  </si>
  <si>
    <t>Only environmental problems are occurring</t>
  </si>
  <si>
    <t>In the past, many used to extract coal; they were farmers</t>
  </si>
  <si>
    <t>Positive for the majority</t>
  </si>
  <si>
    <t>Sand is limited</t>
  </si>
  <si>
    <t>There has been a problem among themselves</t>
  </si>
  <si>
    <t>Production used to be higher before, but now it has declined</t>
  </si>
  <si>
    <t>Fish are not being found</t>
  </si>
  <si>
    <t>We are unable to extract coal</t>
  </si>
  <si>
    <t>We are unable to do our own work</t>
  </si>
  <si>
    <t>The workers involved in sand-related tasks are from another district</t>
  </si>
  <si>
    <t>India is filing a lawsuit</t>
  </si>
  <si>
    <t>People in the area are holding a rally</t>
  </si>
  <si>
    <t>Business (diesel, sand)</t>
  </si>
  <si>
    <t>No harm is being done; it's actually beneficial</t>
  </si>
  <si>
    <t>Farming doesn’t last all year, but this work does</t>
  </si>
  <si>
    <t>It will remain if the administration wants</t>
  </si>
  <si>
    <t>Everyone will become unemployed</t>
  </si>
  <si>
    <t>No case has been filed</t>
  </si>
  <si>
    <t>There is no harm</t>
  </si>
  <si>
    <t>There was a problem with fishing, but now the income is good</t>
  </si>
  <si>
    <t>Now people earn 1000 Taka per day</t>
  </si>
  <si>
    <t>It may be discontinued after a few years</t>
  </si>
  <si>
    <t>Poverty will set in</t>
  </si>
  <si>
    <t>There are problems on the roads</t>
  </si>
  <si>
    <t>There is no damage</t>
  </si>
  <si>
    <t>They are earning better money compared to other jobs</t>
  </si>
  <si>
    <t>The amount of sand in the river has decreased</t>
  </si>
  <si>
    <t>Or they will do other work</t>
  </si>
  <si>
    <t>There was a fight, and a case was filed</t>
  </si>
  <si>
    <t>There was no trouble in 2024</t>
  </si>
  <si>
    <t>There is no agriculture around the river</t>
  </si>
  <si>
    <t>Businessman</t>
  </si>
  <si>
    <t>Women are unable to work</t>
  </si>
  <si>
    <t>Sand lifting work pays well—around 1000 Taka per day</t>
  </si>
  <si>
    <t>It may be shut down</t>
  </si>
  <si>
    <t>A fight occurred</t>
  </si>
  <si>
    <t>A protest took place one year ago</t>
  </si>
  <si>
    <t>No worries</t>
  </si>
  <si>
    <t>Livelihood opportunities are increasing now</t>
  </si>
  <si>
    <t>Not sure</t>
  </si>
  <si>
    <t>Will definitely go</t>
  </si>
  <si>
    <t>There is nothing like that</t>
  </si>
  <si>
    <t>There is no agriculture nearby</t>
  </si>
  <si>
    <t>Everyone used to do household work</t>
  </si>
  <si>
    <t>Now, because of this work, people are earning well</t>
  </si>
  <si>
    <t>The sand is almost finished</t>
  </si>
  <si>
    <t>No, I haven’t seen anything like that</t>
  </si>
  <si>
    <t>There is no damage now; earlier there used to be problems</t>
  </si>
  <si>
    <t>In the past, people used to work less in farming and agriculture</t>
  </si>
  <si>
    <t>Earlier they used to earn less, now they earn more</t>
  </si>
  <si>
    <t>It will be shut down during the rainy season</t>
  </si>
  <si>
    <t>There is no damage; the river water remains within the river</t>
  </si>
  <si>
    <t>Previously, they did other types of work; now they extract sand</t>
  </si>
  <si>
    <t>Now, higher income</t>
  </si>
  <si>
    <t>During the rainy season, if water levels rise, operations remain suspended</t>
  </si>
  <si>
    <t>There is no damage now; rather, there used to be trouble before</t>
  </si>
  <si>
    <t>Now they can earn more than before</t>
  </si>
  <si>
    <t>Many say it will continue further</t>
  </si>
  <si>
    <t>Will become unemployed</t>
  </si>
  <si>
    <t>Oh no brother, there’s no damage happening</t>
  </si>
  <si>
    <t>Earning a living by working in their own area, making 1500 per day</t>
  </si>
  <si>
    <t>It can continue as long as there is sand</t>
  </si>
  <si>
    <t>There is revenge</t>
  </si>
  <si>
    <t>Fights happen frequently here</t>
  </si>
  <si>
    <t>There have been multiple incidents of attacks and legal cases</t>
  </si>
  <si>
    <t>No impact is being observed in agriculture</t>
  </si>
  <si>
    <t>Coal used to be extracted before</t>
  </si>
  <si>
    <t>Fishing used to be done</t>
  </si>
  <si>
    <t>Yes, the matter is good for them</t>
  </si>
  <si>
    <t>This work will end at some point</t>
  </si>
  <si>
    <t>People will not get work</t>
  </si>
  <si>
    <t>Protests occur from time to time</t>
  </si>
  <si>
    <t>It’s not expected to be a major problem</t>
  </si>
  <si>
    <t>It has improved because of this</t>
  </si>
  <si>
    <t>Previously, there was less work; now there is more</t>
  </si>
  <si>
    <t>Will remain for another 2 to 4 years</t>
  </si>
  <si>
    <t>But the income will decrease</t>
  </si>
  <si>
    <t>There is no fighting</t>
  </si>
  <si>
    <t>River excavation is proving beneficial for agricultural work</t>
  </si>
  <si>
    <t>Surrounding businesses are doing well</t>
  </si>
  <si>
    <t>Previously, people were unemployed; now they earn 1000–1500 BDT daily and can sustain themselves</t>
  </si>
  <si>
    <t>If the government stops it, it won’t continue</t>
  </si>
  <si>
    <t>Will die from starvation</t>
  </si>
  <si>
    <t>No fighting has occurred</t>
  </si>
  <si>
    <t>Production is not being affected</t>
  </si>
  <si>
    <t>Income is increasing</t>
  </si>
  <si>
    <t>It won’t last forever; at some point, the sand will run out</t>
  </si>
  <si>
    <t>Unemployment will return</t>
  </si>
  <si>
    <t>No warries</t>
  </si>
  <si>
    <t>Production is improving, but the amount of cultivable land is decreasing</t>
  </si>
  <si>
    <t>Their income has increased</t>
  </si>
  <si>
    <t>If there is a flood, water will come along with sand</t>
  </si>
  <si>
    <t>It will take time</t>
  </si>
  <si>
    <t>Farmers are not facing any problems</t>
  </si>
  <si>
    <t>They are not directly involved in this activity, but it has benefited them</t>
  </si>
  <si>
    <t>Income has increased significantly, and they have benefited financially</t>
  </si>
  <si>
    <t>If the river flow decreases, it will come to an end</t>
  </si>
  <si>
    <t>There is an opportunity to return to their previous occupation</t>
  </si>
  <si>
    <t>Everyone works together in harmony</t>
  </si>
  <si>
    <t>Production is not being disrupted</t>
  </si>
  <si>
    <t>They are not facing any harm</t>
  </si>
  <si>
    <t>Their sources of income are increasing</t>
  </si>
  <si>
    <t>Production is decreasing</t>
  </si>
  <si>
    <t>Agriculture is not being affected</t>
  </si>
  <si>
    <t>Higher income compared to other occupations</t>
  </si>
  <si>
    <t>There is no conflict with the local people</t>
  </si>
  <si>
    <t>No damage is occurring in agriculture</t>
  </si>
  <si>
    <t>There is no problem in fishing</t>
  </si>
  <si>
    <t>Conditional</t>
  </si>
  <si>
    <t>If not possible, they will shift to another occupation</t>
  </si>
  <si>
    <t>No problems have been observed so far</t>
  </si>
  <si>
    <t>There is no agricultural land nearby</t>
  </si>
  <si>
    <t>Since there are more advantages here</t>
  </si>
  <si>
    <t>This is temporary</t>
  </si>
  <si>
    <t>Some will be able to do it, while others may not</t>
  </si>
  <si>
    <t>Agriculture is not related to the river</t>
  </si>
  <si>
    <t xml:space="preserve">Higher income  </t>
  </si>
  <si>
    <t>There are no attacks or legal cases</t>
  </si>
  <si>
    <t>They are not being harmed at all</t>
  </si>
  <si>
    <t>We didn’t use to do these things before, but now that the profit is higher, everyone has entered this line of work</t>
  </si>
  <si>
    <t>People are progressing in every aspect now, and they can finally eat to their heart’s content</t>
  </si>
  <si>
    <t>I heard that it might be discontinued from next year</t>
  </si>
  <si>
    <t>It’s hard to say exactly who will go where</t>
  </si>
  <si>
    <t>There used to be problems with sand lifting before—we had to pay some local people</t>
  </si>
  <si>
    <t>But now our MP is creating opportunities for everyone</t>
  </si>
  <si>
    <t>Something has to be done—rice farming is costly now, and there’s not much profit. That’s why everyone is shifting to sand lifting</t>
  </si>
  <si>
    <t>The men do most of the work, while the women run a few rice and tea stalls</t>
  </si>
  <si>
    <t>Machine repair</t>
  </si>
  <si>
    <t>Sand comes along with the water from India, so as long as the water flows, the sand will keep coming</t>
  </si>
  <si>
    <t>Often, one person’s gain becomes intolerable to another, so they try to cause harm</t>
  </si>
  <si>
    <t>Now that rice-harvesting machines and other equipment are available, people can engage in farming alongside sand-related work</t>
  </si>
  <si>
    <t>There are various types of work available for men—dredger operation, truck driving, loader work, boat handling, and running rice hotels</t>
  </si>
  <si>
    <t>Labour</t>
  </si>
  <si>
    <t>There used to be coal before, and there were fewer stones</t>
  </si>
  <si>
    <t>Men are primarily engaged in sand mining, while women run rice hotels. Some people are also involved in coal-related work</t>
  </si>
  <si>
    <t>Women collect and sort coal, while men work in sand mining</t>
  </si>
  <si>
    <t>Shopkeeper</t>
  </si>
  <si>
    <t>We used to cultivate rice before( Farming )</t>
  </si>
  <si>
    <t>After finishing the fieldwork, we used to go fishing in the evening  (Fishing)</t>
  </si>
  <si>
    <t>Now we have to go wherever the money is better</t>
  </si>
  <si>
    <t>People in the area now have money</t>
  </si>
  <si>
    <t>Some journalists and environmental activists are trying to damage the area together</t>
  </si>
  <si>
    <t>There have been some small issues, but I myself am letting go of these things for the sake of money</t>
  </si>
  <si>
    <t>Boat driving</t>
  </si>
  <si>
    <t>Compared to before, it’s now possible to earn much more, which is why I’ve left my previous work</t>
  </si>
  <si>
    <t>People can now live in peace</t>
  </si>
  <si>
    <t>I heard this might get shut down like it did in Sylhet</t>
  </si>
  <si>
    <t>Many people will move to work in the garment sector</t>
  </si>
  <si>
    <t>From our perspective, everything seems fine, but some journalists want to kick us in the stomach</t>
  </si>
  <si>
    <t xml:space="preserve">Compared to before, it has decreased somewhat—people no longer get time for farming </t>
  </si>
  <si>
    <t xml:space="preserve">Fishing </t>
  </si>
  <si>
    <t>I wasn’t involved in sand lifting before; I used to raise ducks, chickens, and cows</t>
  </si>
  <si>
    <t>It’s doing well—people have progressed through it.</t>
  </si>
  <si>
    <t xml:space="preserve">I’ve heard that sand lifting might be stopped, and if that happens, I’ll fall into financial crisis </t>
  </si>
  <si>
    <t>Then there will be nothing left to earn from, so I’ll have to go back to my previous work</t>
  </si>
  <si>
    <t>Environment</t>
  </si>
  <si>
    <t>Yes, the environment is getting slightly harmed, but we also have to survive somehow</t>
  </si>
  <si>
    <t>Earlier, many people used to grow vegetables, but now they can’t due to work pressure</t>
  </si>
  <si>
    <t>Here, we do all the work ourselves—each person takes on a different task</t>
  </si>
  <si>
    <t>small stone collection</t>
  </si>
  <si>
    <t>After leaving farming</t>
  </si>
  <si>
    <t>They used to do river excavation work before, and even if sand lifting stops, they’ll continue with that</t>
  </si>
  <si>
    <t>Source of income</t>
  </si>
  <si>
    <t>This mining offers a good opportunity to earn money. Many say it’s harming the environment, but we don’t feel that way</t>
  </si>
  <si>
    <t>The amount of farming has decreased significantly now</t>
  </si>
  <si>
    <t>Female not working</t>
  </si>
  <si>
    <t>All the work here is done by men</t>
  </si>
  <si>
    <t>Vegetable cultivation</t>
  </si>
  <si>
    <t>I’ve left my previous work and now I do sand lifting</t>
  </si>
  <si>
    <t>Compared to before, people have become much busier now</t>
  </si>
  <si>
    <t>Many people are making changes</t>
  </si>
  <si>
    <t>There’s been a lot of development—people from outside also come here to work</t>
  </si>
  <si>
    <t>It won’t always be available</t>
  </si>
  <si>
    <t>It will become like before</t>
  </si>
  <si>
    <t>There’s no conflict—we can manage through one person.</t>
  </si>
  <si>
    <t>Onions and garlic used to be produced in larger quantities before</t>
  </si>
  <si>
    <t>Daily income 1500</t>
  </si>
  <si>
    <t>Earlier, we used to extract coal from the river</t>
  </si>
  <si>
    <t>We used to cultivate tomato, eggplant, and radish</t>
  </si>
  <si>
    <t>Back when sand lifting wasn’t this active, people didn’t do this kind of work. For the past 4–5 years, more people have been involved in sand extraction</t>
  </si>
  <si>
    <t>People’s income is improving, and many are using money from this work to start new businesses in the market</t>
  </si>
  <si>
    <t>If things continue like this, the sand won’t last much longer—extraction is happening at a high rate now</t>
  </si>
  <si>
    <t>People have to do something to survive—they’ll choose whatever brings the most benefit at the time</t>
  </si>
  <si>
    <t>No, there’s no conflict here. Our MP has arranged for everyone to continue working</t>
  </si>
  <si>
    <t>People are still engaged in agricultural work</t>
  </si>
  <si>
    <t>Here, women mostly work in hotels and do some coal collection, but men do all the other</t>
  </si>
  <si>
    <t>Truck</t>
  </si>
  <si>
    <t>Other jobs were harder and paid less</t>
  </si>
  <si>
    <t>There is work available for the unemployed</t>
  </si>
  <si>
    <t>It will last more than 20 years</t>
  </si>
  <si>
    <t>-</t>
  </si>
  <si>
    <t>Earlier, we had to pay contributions, but now the companies want to stop it</t>
  </si>
  <si>
    <t>There’s been no impact—I still do agricultural work</t>
  </si>
  <si>
    <t>Women do not engage in any work</t>
  </si>
  <si>
    <t>Driving a car</t>
  </si>
  <si>
    <t>We can manage, and our family can manage too</t>
  </si>
  <si>
    <t>Boats may not remain as they are now, the sand size will decrease but sand will still be available</t>
  </si>
  <si>
    <t>We’ll see then</t>
  </si>
  <si>
    <t>Things have improved compared to before—the riverbank is no longer eroding, as the river has deepened</t>
  </si>
  <si>
    <t>Grocery shop</t>
  </si>
  <si>
    <t>I was working on a dredger in Sylhet</t>
  </si>
  <si>
    <t>I used to work in coal extraction</t>
  </si>
  <si>
    <t>Working on a dredger in the river</t>
  </si>
  <si>
    <t>Driving a truck</t>
  </si>
  <si>
    <t>Extracting coal</t>
  </si>
  <si>
    <t>Driving an auto-rickshaw</t>
  </si>
  <si>
    <t>There’s no sand, but things will continue as before</t>
  </si>
  <si>
    <t>Daily Income 1500-1800</t>
  </si>
  <si>
    <t>Car Decoration</t>
  </si>
  <si>
    <t>1/2</t>
  </si>
  <si>
    <t>some women work in coal, gravel extraction</t>
  </si>
  <si>
    <t xml:space="preserve"> </t>
  </si>
  <si>
    <t>truck overloading is a problem</t>
  </si>
  <si>
    <t xml:space="preserve">1 outta 50 </t>
  </si>
  <si>
    <t>selling sands and cleaning machineries done by women</t>
  </si>
  <si>
    <t>26 people work on 4 machines</t>
  </si>
  <si>
    <t>paddy, bottle gourd, watermelon affected</t>
  </si>
  <si>
    <t>A family of 5 people is being supported</t>
  </si>
  <si>
    <t>extraction may get hampered due to legal bans imposition</t>
  </si>
  <si>
    <t>conflicts between lease holders often occur</t>
  </si>
  <si>
    <t>protest for ensuring no road damage has taken place</t>
  </si>
  <si>
    <t xml:space="preserve">_ </t>
  </si>
  <si>
    <t xml:space="preserve">Very Severe </t>
  </si>
  <si>
    <t>Lifting sand with a dredger</t>
  </si>
  <si>
    <t>coal</t>
  </si>
  <si>
    <t>floating lumber business affected</t>
  </si>
  <si>
    <t>or they will do other work</t>
  </si>
  <si>
    <t>Old dredging machine</t>
  </si>
  <si>
    <t>Beside the green water harvesting river</t>
  </si>
  <si>
    <t>no more vegetable farming</t>
  </si>
  <si>
    <t>few women work in coal extraction</t>
  </si>
  <si>
    <t>Sand lifting - sand selling - 600 feet - 8000 Taka</t>
  </si>
  <si>
    <t>fishing</t>
  </si>
  <si>
    <t>people are concerned about the sustainability</t>
  </si>
  <si>
    <t xml:space="preserve">Yes </t>
  </si>
  <si>
    <t>Sells Unilever puffed rice powder oil</t>
  </si>
  <si>
    <t>agriculture</t>
  </si>
  <si>
    <t>Due to sand</t>
  </si>
  <si>
    <t>Stone breaking work</t>
  </si>
  <si>
    <t xml:space="preserve">__ </t>
  </si>
  <si>
    <t>can get back to agriculture</t>
  </si>
  <si>
    <t>protests for ensuring noo road damage</t>
  </si>
  <si>
    <t xml:space="preserve"> Unknown</t>
  </si>
  <si>
    <t>Machine operation - sand selling - 7000 to 8000</t>
  </si>
  <si>
    <t>vegetable harvesting</t>
  </si>
  <si>
    <t>truck washing, loading sands, helping drivers</t>
  </si>
  <si>
    <t xml:space="preserve">Negative </t>
  </si>
  <si>
    <t>will revert to coal</t>
  </si>
  <si>
    <t>Agri, vegetable</t>
  </si>
  <si>
    <t>paddy</t>
  </si>
  <si>
    <t xml:space="preserve"> river erosion, road damage creates transport problems</t>
  </si>
  <si>
    <t xml:space="preserve">  _</t>
  </si>
  <si>
    <t>no agri anymore</t>
  </si>
  <si>
    <t>uses pipes to extract sands and then sales them</t>
  </si>
  <si>
    <t>coal, stones</t>
  </si>
  <si>
    <t>river erosion, lowered GWL causing less waters in tubewells</t>
  </si>
  <si>
    <t xml:space="preserve">আন্দোলন </t>
  </si>
  <si>
    <t>women extract coals</t>
  </si>
  <si>
    <t>agricultural works sometime done by women</t>
  </si>
  <si>
    <t>Sand Businessman</t>
  </si>
  <si>
    <t>vegetable</t>
  </si>
  <si>
    <t xml:space="preserve">lots of previously unemployed people can not do work in sand mining </t>
  </si>
  <si>
    <t>better if SM continues</t>
  </si>
  <si>
    <t>sales extracted sands</t>
  </si>
  <si>
    <t>Truck Driver</t>
  </si>
  <si>
    <t>riverbank erosion</t>
  </si>
  <si>
    <t>takes it to Shimultuli sand deposotion market</t>
  </si>
  <si>
    <t>mining could be stopped</t>
  </si>
  <si>
    <t>will do other works</t>
  </si>
  <si>
    <t>25k BDT profit each day from one machine</t>
  </si>
  <si>
    <t>Market trader</t>
  </si>
  <si>
    <t>construction labour</t>
  </si>
  <si>
    <t>less water in tubewell</t>
  </si>
  <si>
    <t xml:space="preserve">where </t>
  </si>
  <si>
    <t>impacted</t>
  </si>
  <si>
    <t>rent a car</t>
  </si>
  <si>
    <t>no floating lumbers; people die because of mining</t>
  </si>
  <si>
    <t>bottle gourd</t>
  </si>
  <si>
    <t>transportation problems, too much dusts</t>
  </si>
  <si>
    <t>conflicts where the extraction machines can be installed</t>
  </si>
  <si>
    <t>lesser construction workers and farming</t>
  </si>
  <si>
    <t>lesser farming people</t>
  </si>
  <si>
    <t>farming</t>
  </si>
  <si>
    <t>local businesses</t>
  </si>
  <si>
    <t>sound pollution</t>
  </si>
  <si>
    <t>Teacher</t>
  </si>
  <si>
    <t>clay stone</t>
  </si>
  <si>
    <t>Problems for students, roads, river erosion problems</t>
  </si>
  <si>
    <t>conflicts happen regarding where to place the dredgers</t>
  </si>
  <si>
    <t>people die or get injured while extraction</t>
  </si>
  <si>
    <t xml:space="preserve"> _ </t>
  </si>
  <si>
    <t>rivers are deeper now so less water remain on the agr lands</t>
  </si>
  <si>
    <t>Voltar Driver</t>
  </si>
  <si>
    <t>garments</t>
  </si>
  <si>
    <t>livestock</t>
  </si>
  <si>
    <t>Come build house, income 1000/1500</t>
  </si>
  <si>
    <t>Manager</t>
  </si>
  <si>
    <t>smuggling</t>
  </si>
  <si>
    <t>River erosion, employment</t>
  </si>
  <si>
    <t>Sound pollution, tubewell water not available</t>
  </si>
  <si>
    <t>less water on the lands</t>
  </si>
  <si>
    <t>15/20</t>
  </si>
  <si>
    <t>1500 like this, dam tax collected, taking water from the side</t>
  </si>
  <si>
    <t>less water from GW wells</t>
  </si>
  <si>
    <t>Student</t>
  </si>
  <si>
    <t>River bank</t>
  </si>
  <si>
    <t>Outside area</t>
  </si>
  <si>
    <t>better for the environment</t>
  </si>
  <si>
    <t>machine cleanings</t>
  </si>
  <si>
    <t>Cattle keeping</t>
  </si>
  <si>
    <t>Charcoal selling</t>
  </si>
  <si>
    <t>Wood cutting, agriculture, coal</t>
  </si>
  <si>
    <t>Housing, environment</t>
  </si>
  <si>
    <t>used to go to Dhaka for works</t>
  </si>
  <si>
    <t>loads sands in trucks</t>
  </si>
  <si>
    <t xml:space="preserve"> Houses don’t get demolished now.</t>
  </si>
  <si>
    <t>Car owner</t>
  </si>
  <si>
    <t>Used to work in sand/soil mines</t>
  </si>
  <si>
    <t xml:space="preserve"> _</t>
  </si>
  <si>
    <t>less water availability foragri lands</t>
  </si>
  <si>
    <t>Used to work in various places in the city</t>
  </si>
  <si>
    <t>Agriculture, coal</t>
  </si>
  <si>
    <t>Drove vehicle</t>
  </si>
  <si>
    <t>Employment opportunity</t>
  </si>
  <si>
    <t>conflics related to movement in damaged roads</t>
  </si>
  <si>
    <t>o</t>
  </si>
  <si>
    <t xml:space="preserve">Dredgor </t>
  </si>
  <si>
    <t xml:space="preserve">Car driver </t>
  </si>
  <si>
    <t>will remain unemployed- what else to do</t>
  </si>
  <si>
    <t>more employment</t>
  </si>
  <si>
    <t>Coal - 500/600 taka loan</t>
  </si>
  <si>
    <t>Employment</t>
  </si>
  <si>
    <t>less water in GW wells</t>
  </si>
  <si>
    <t>5% women work in SM</t>
  </si>
  <si>
    <t>Sand Manager</t>
  </si>
  <si>
    <t xml:space="preserve">Machine Owner </t>
  </si>
  <si>
    <t>driving business</t>
  </si>
  <si>
    <t>rickshaw tranportation</t>
  </si>
  <si>
    <t>agri</t>
  </si>
  <si>
    <t>claystone works</t>
  </si>
  <si>
    <t>Business</t>
  </si>
  <si>
    <t>conflicts related to where to place the dredgers</t>
  </si>
  <si>
    <t>Tea stall owner</t>
  </si>
  <si>
    <t>River erosion, house went into river in water</t>
  </si>
  <si>
    <t>Auto vehicle, rickshaw</t>
  </si>
  <si>
    <t>30/35</t>
  </si>
  <si>
    <t>Fish catching, firewood</t>
  </si>
  <si>
    <t>10% women</t>
  </si>
  <si>
    <t xml:space="preserve">Female </t>
  </si>
  <si>
    <t>Cannot lift coal, river erosion</t>
  </si>
  <si>
    <t>conflics with local tribal people</t>
  </si>
  <si>
    <t>many women work in shops close to SM areas</t>
  </si>
  <si>
    <t>Diesel Trader</t>
  </si>
  <si>
    <t>Firewood for lamp</t>
  </si>
  <si>
    <t>Agriculture</t>
  </si>
  <si>
    <t>women run restaurants</t>
  </si>
  <si>
    <t xml:space="preserve">Dredger Driver </t>
  </si>
  <si>
    <t>Radmiri, vehicle</t>
  </si>
  <si>
    <t>Engine Operator</t>
  </si>
  <si>
    <t>Employee at an oil shop</t>
  </si>
  <si>
    <t>both good and bad</t>
  </si>
  <si>
    <t>mason</t>
  </si>
  <si>
    <t>employment</t>
  </si>
  <si>
    <t>Sand work devotee</t>
  </si>
  <si>
    <t>unemployment</t>
  </si>
  <si>
    <t>rivers get higher depths</t>
  </si>
  <si>
    <t>day labor</t>
  </si>
  <si>
    <t>Delivery</t>
  </si>
  <si>
    <t>Day laborer, unemployed</t>
  </si>
  <si>
    <t>Accident, people cannot lift rice, local people's income increases</t>
  </si>
  <si>
    <t>will switch to other professions</t>
  </si>
  <si>
    <t>Coal, stone</t>
  </si>
  <si>
    <t>Was agricultural</t>
  </si>
  <si>
    <t>Charcoal trader</t>
  </si>
  <si>
    <t>Came from agriculture less</t>
  </si>
  <si>
    <t>no business mentality</t>
  </si>
  <si>
    <t>legal implications</t>
  </si>
  <si>
    <t>enhanced sedimentation in agricultural lands</t>
  </si>
  <si>
    <t>Student, driver, primary, grocery store</t>
  </si>
  <si>
    <t>Cannot get water for agriculture</t>
  </si>
  <si>
    <t>unknown</t>
  </si>
  <si>
    <t>smaller machine owners are neglected and not permitted</t>
  </si>
  <si>
    <t>less water in GW wells to be used for farming</t>
  </si>
  <si>
    <t>Study, rickshaw puller</t>
  </si>
  <si>
    <t>Can earn a lot of money</t>
  </si>
  <si>
    <t>willswitch to business</t>
  </si>
  <si>
    <t>the respondent doesnt know</t>
  </si>
  <si>
    <t>businessman</t>
  </si>
  <si>
    <t>Day laborer</t>
  </si>
  <si>
    <t>River cutting stopped income</t>
  </si>
  <si>
    <t xml:space="preserve">will go back to Sylhet </t>
  </si>
  <si>
    <t>less water for farming</t>
  </si>
  <si>
    <t>Radmiri, flower, garment job</t>
  </si>
  <si>
    <t xml:space="preserve">He will work as a mason </t>
  </si>
  <si>
    <t>protests, complaints</t>
  </si>
  <si>
    <t>road damage</t>
  </si>
  <si>
    <t>less water available for agricultural works</t>
  </si>
  <si>
    <t>unspecified</t>
  </si>
  <si>
    <t>Unspecified</t>
  </si>
  <si>
    <t>2014 - business (agricultural)</t>
  </si>
  <si>
    <t>Wood, sand business</t>
  </si>
  <si>
    <t>Oil</t>
  </si>
  <si>
    <t>People working as day laborers now working with machines</t>
  </si>
  <si>
    <t>People of the area doing business</t>
  </si>
  <si>
    <t>They will engage in coal extraction and the wood trade</t>
  </si>
  <si>
    <t>less water for agriculture</t>
  </si>
  <si>
    <t xml:space="preserve">less paddy production </t>
  </si>
  <si>
    <t>Boatman</t>
  </si>
  <si>
    <t>Rickshaw puller</t>
  </si>
  <si>
    <t xml:space="preserve"> Will become unemployed.</t>
  </si>
  <si>
    <t>Machine operator, rickshaw puller, day laborer</t>
  </si>
  <si>
    <t xml:space="preserve">For business, they will need to go to Dhaka. </t>
  </si>
  <si>
    <t>road damages</t>
  </si>
  <si>
    <t>overload causing road damages too</t>
  </si>
  <si>
    <t>Sand supply laborer</t>
  </si>
  <si>
    <t xml:space="preserve"> unemployed</t>
  </si>
  <si>
    <t>Fisherman</t>
  </si>
  <si>
    <t>Labor, stone worker</t>
  </si>
  <si>
    <t>no water issues</t>
  </si>
  <si>
    <t>Plastic worker, agricultural laborer</t>
  </si>
  <si>
    <t>They have no work other than the river related work.</t>
  </si>
  <si>
    <t>Rickshaw puller, farmer, driver</t>
  </si>
  <si>
    <t>GWL is getting lowered</t>
  </si>
  <si>
    <t>claystone</t>
  </si>
  <si>
    <t>garments, rickshaw</t>
  </si>
  <si>
    <t>business</t>
  </si>
  <si>
    <t>enviromentalists</t>
  </si>
  <si>
    <t>Store owner</t>
  </si>
  <si>
    <t>To prevent</t>
  </si>
  <si>
    <t>70+</t>
  </si>
  <si>
    <t>Was negative before, now no opinion</t>
  </si>
  <si>
    <t>courts</t>
  </si>
  <si>
    <t>less floods</t>
  </si>
  <si>
    <t>Box/tea shop</t>
  </si>
  <si>
    <t>Weaving</t>
  </si>
  <si>
    <t>Gas transport</t>
  </si>
  <si>
    <t>Most flower, rickshaw puller</t>
  </si>
  <si>
    <t>BGB</t>
  </si>
  <si>
    <t xml:space="preserve">A lawsuit filed by the mission </t>
  </si>
  <si>
    <t xml:space="preserve">Environmental lawsuit </t>
  </si>
  <si>
    <t>it might get all sandy otherwise</t>
  </si>
  <si>
    <t>6/10</t>
  </si>
  <si>
    <t>women wash sands, dries them</t>
  </si>
  <si>
    <t>Unemployment</t>
  </si>
  <si>
    <t>Agriculture, vegetables</t>
  </si>
  <si>
    <t>Area is developing</t>
  </si>
  <si>
    <t>unemployment will increase</t>
  </si>
  <si>
    <t>Bamboo business</t>
  </si>
  <si>
    <t>Unemployed</t>
  </si>
  <si>
    <t>Agriculture work</t>
  </si>
  <si>
    <t>Flower</t>
  </si>
  <si>
    <t>Unemployment was there, river dredging happening</t>
  </si>
  <si>
    <t>more unemployment</t>
  </si>
  <si>
    <t>will find work in Dhaka</t>
  </si>
  <si>
    <t>BSF</t>
  </si>
  <si>
    <t xml:space="preserve">গারো </t>
  </si>
  <si>
    <t xml:space="preserve">Businessman </t>
  </si>
  <si>
    <t>Flower, business</t>
  </si>
  <si>
    <t>unemployed</t>
  </si>
  <si>
    <t>rickshaw</t>
  </si>
  <si>
    <t>people change profession from coal extraction rickshaw pulling and garments to sand mining</t>
  </si>
  <si>
    <t xml:space="preserve">They can’t work in garments, so they’ll drift away and go to another place </t>
  </si>
  <si>
    <t>less harms</t>
  </si>
  <si>
    <t>day labour</t>
  </si>
  <si>
    <t>stone  extraction</t>
  </si>
  <si>
    <t>Business in nearby area</t>
  </si>
  <si>
    <t xml:space="preserve"> Employment has increased, but if the river is blocked, crime like theft and robbery will increase. </t>
  </si>
  <si>
    <t xml:space="preserve">It’s possible to get opportunities in another sector. </t>
  </si>
  <si>
    <t>better for the river as its getting higher depths</t>
  </si>
  <si>
    <t>The river is deep, so the damage is less.</t>
  </si>
  <si>
    <t xml:space="preserve"> It will run for 40 years</t>
  </si>
  <si>
    <t xml:space="preserve"> They might shift to a different occupation </t>
  </si>
  <si>
    <t>less water available for agricultural works; no extra lands for farming besides the rivers</t>
  </si>
  <si>
    <t>Day laborer, agriculture</t>
  </si>
  <si>
    <t>Employment, roads are safe</t>
  </si>
  <si>
    <t xml:space="preserve">As farmers don’t do river work, and garment workers will go back to their garment jobs. </t>
  </si>
  <si>
    <t>better for agriculture</t>
  </si>
  <si>
    <t xml:space="preserve">Since coal cannot be extracted, they become unemployed </t>
  </si>
  <si>
    <t>rickshaw pulling</t>
  </si>
  <si>
    <t>rickshaw puller, coal extractor</t>
  </si>
  <si>
    <t>more river bank erosion and destruction of infrastructures</t>
  </si>
  <si>
    <t>will get back to previous prifession</t>
  </si>
  <si>
    <t xml:space="preserve">Trying to halt the work </t>
  </si>
  <si>
    <t xml:space="preserve">The hill people are attempting to halt it </t>
  </si>
  <si>
    <t>Will continue their studies.</t>
  </si>
  <si>
    <t xml:space="preserve">  street</t>
  </si>
  <si>
    <t xml:space="preserve">During the protest, vehicles will operate at night and be halted during the day. </t>
  </si>
  <si>
    <t>no court cases</t>
  </si>
  <si>
    <t>will extract coal</t>
  </si>
  <si>
    <t>no problems in WL for agri</t>
  </si>
  <si>
    <t>will be unemployed</t>
  </si>
  <si>
    <t xml:space="preserve">Problems with roads and streets. </t>
  </si>
  <si>
    <t xml:space="preserve"> agricultural lands arenot getting water</t>
  </si>
  <si>
    <t>Grocery Shopkeeper</t>
  </si>
  <si>
    <t>Farming, Household</t>
  </si>
  <si>
    <t>Sand lifting from Barirapatar causes cracks, transportation problems</t>
  </si>
  <si>
    <t xml:space="preserve"> Protest rally and meeting</t>
  </si>
  <si>
    <t>murder has occurred</t>
  </si>
  <si>
    <t xml:space="preserve"> Rice, wheat, and vegetables are unavailable </t>
  </si>
  <si>
    <t>Have to go to Dhaka</t>
  </si>
  <si>
    <t xml:space="preserve"> No problems arise, and the locals view positively</t>
  </si>
  <si>
    <t>will go to Dhaka for work</t>
  </si>
  <si>
    <t>No trouble occurred</t>
  </si>
  <si>
    <t>Machine Operator</t>
  </si>
  <si>
    <t>garments worker joined SM</t>
  </si>
  <si>
    <t>coal business</t>
  </si>
  <si>
    <t>90% are involved in SM works</t>
  </si>
  <si>
    <t>will find some other works</t>
  </si>
  <si>
    <t xml:space="preserve"> Holes are being dug in Shimultuli and filled with sand</t>
  </si>
  <si>
    <t xml:space="preserve">  Owners and staff of large engines come from outside, whereas those of small engines are from the local area</t>
  </si>
  <si>
    <t>was repairing machines</t>
  </si>
  <si>
    <t>no probolems occurred</t>
  </si>
  <si>
    <t xml:space="preserve">Mix </t>
  </si>
  <si>
    <t>Dredging helps reduce flooding - advantages</t>
  </si>
  <si>
    <t>Roads are becoming a trouble- disadvantages</t>
  </si>
  <si>
    <t xml:space="preserve">Stored at Shimultuli and directly sold during the rainy season </t>
  </si>
  <si>
    <t xml:space="preserve">  Local people handle light coal work, whereas outsiders from Rangpur, Sylhet, Nilphamari, and Sunamganj do the heavy labor</t>
  </si>
  <si>
    <t xml:space="preserve"> Problems occur with roads and streets</t>
  </si>
  <si>
    <t>There was farmland</t>
  </si>
  <si>
    <t>Loaders are outsiders</t>
  </si>
  <si>
    <t>Farmer, Sand Businessman</t>
  </si>
  <si>
    <t>people from difference places come to work</t>
  </si>
  <si>
    <t xml:space="preserve">The land was a riverine island and stayed unused. </t>
  </si>
  <si>
    <t xml:space="preserve"> Coal extraction was done earlier, but it has stopped now. </t>
  </si>
  <si>
    <t>Depend on barcrack extract</t>
  </si>
  <si>
    <t>Sand Seller</t>
  </si>
  <si>
    <t>Tubewell water not coming out</t>
  </si>
  <si>
    <t>it will be hard</t>
  </si>
  <si>
    <t>Influential people conflict</t>
  </si>
  <si>
    <t>Yees</t>
  </si>
  <si>
    <t xml:space="preserve"> Previously, they engaged in agriculture </t>
  </si>
  <si>
    <t xml:space="preserve">Coal extraction is 100 out of 1,000 </t>
  </si>
  <si>
    <t>Depand</t>
  </si>
  <si>
    <t>Going near the border creates issues with the BSF; that area has higher activity.</t>
  </si>
  <si>
    <t>Women engage in business, running hotels, rice shops, and other enterprises. Sand/coal extraction does not interfere with farming, and rice is now safe from flooding.</t>
  </si>
  <si>
    <t>coal mining stopped</t>
  </si>
  <si>
    <t xml:space="preserve"> Provided by the government</t>
  </si>
  <si>
    <t xml:space="preserve">They stored part of the crops </t>
  </si>
  <si>
    <t xml:space="preserve"> Earlier, women used to work; now they don’t.” </t>
  </si>
  <si>
    <t>does SM additionally to agriculture works</t>
  </si>
  <si>
    <t>outsiders work mostly as loaders</t>
  </si>
  <si>
    <t xml:space="preserve"> The land was previously used for crops, but after flooding, it was filled with sand, and now sand is being stored there </t>
  </si>
  <si>
    <t>They rent out houses</t>
  </si>
  <si>
    <t>Rice Hotel</t>
  </si>
  <si>
    <t xml:space="preserve">No Comment </t>
  </si>
  <si>
    <t xml:space="preserve"> People from Batore work here. </t>
  </si>
  <si>
    <t xml:space="preserve">Coal extraction work has stopped </t>
  </si>
  <si>
    <t>They grew rice and vegetables.</t>
  </si>
  <si>
    <t>No,  dredging increases riverbank erosion and makes it hard to find fish</t>
  </si>
  <si>
    <t>Soil erosion in the village happens from excessive digging, and currently, the flow being deeper or stronger causes the riverside vegetation to vanish.</t>
  </si>
  <si>
    <t>Famer, Shopkeeper</t>
  </si>
  <si>
    <t>outsiders people come to work and rent homes</t>
  </si>
  <si>
    <t xml:space="preserve">In Shimultuli, land is rented to store sand; earlier it was used for cultivation, but now sand is causing damage </t>
  </si>
  <si>
    <t>more earning in SM</t>
  </si>
  <si>
    <t xml:space="preserve">No comment negative </t>
  </si>
  <si>
    <t xml:space="preserve">In Shimultuli, they are storing it by digging holes and filling them </t>
  </si>
  <si>
    <t xml:space="preserve"> Women set up shops nearby </t>
  </si>
  <si>
    <t>cannot get back to doing anything else</t>
  </si>
  <si>
    <t>difference in opinion</t>
  </si>
  <si>
    <t xml:space="preserve">Women do stone work, men operate the machines. </t>
  </si>
  <si>
    <t>depend ed on work</t>
  </si>
  <si>
    <t xml:space="preserve"> now women are out of work </t>
  </si>
  <si>
    <t>No vegetables</t>
  </si>
  <si>
    <t>Flower workers used to earn 1500-2000, 1500 taka daily</t>
  </si>
  <si>
    <t>some says good, some says bad</t>
  </si>
  <si>
    <t xml:space="preserve"> It doesn’t cause loss; renting out brings in more than farming </t>
  </si>
  <si>
    <t xml:space="preserve">They engage in stone hauling; a single sack costs between 400 and 500 Taka </t>
  </si>
  <si>
    <t xml:space="preserve">Due to the heaviness of the work, it will not be done </t>
  </si>
  <si>
    <t>Used to do agriculture work before</t>
  </si>
  <si>
    <t xml:space="preserve"> Fills the hole. </t>
  </si>
  <si>
    <t>Arid coal</t>
  </si>
  <si>
    <t xml:space="preserve">Depend on how much they extract Stone </t>
  </si>
  <si>
    <t>Commercial, coarse and medium sand.</t>
  </si>
  <si>
    <t>Radmiri, rickshaw puller</t>
  </si>
  <si>
    <t xml:space="preserve">minimum 500-1800 </t>
  </si>
  <si>
    <t>The river is disappearing</t>
  </si>
  <si>
    <t xml:space="preserve">Earlier, some farming was done, but now holes are filled with sand for storage </t>
  </si>
  <si>
    <t xml:space="preserve">Depend on how much they extract </t>
  </si>
  <si>
    <t>Outsiders also do the work.</t>
  </si>
  <si>
    <t>Along with sand, also does agriculture</t>
  </si>
  <si>
    <t>Agriculture work also goes on</t>
  </si>
  <si>
    <t xml:space="preserve">  Crops were grown</t>
  </si>
  <si>
    <t xml:space="preserve">  women do not work</t>
  </si>
  <si>
    <t>sand mining labour</t>
  </si>
  <si>
    <t>Vehicle</t>
  </si>
  <si>
    <t xml:space="preserve">Crops were not grown before. </t>
  </si>
  <si>
    <t>There has been much progress; stopping it would lead to unemployment for many, and sand mining prevents flood damage for them.</t>
  </si>
  <si>
    <t>no opportunities for otehr works so people come and do SM</t>
  </si>
  <si>
    <t xml:space="preserve">No Idea </t>
  </si>
  <si>
    <t xml:space="preserve">Excavation machines reach 70–80 feet, operating as long as sand is extracted. The river’s typical depth is 5–7 feet. Red sand is limited because it’s been dug out extensively, while white sand remains abundant. </t>
  </si>
  <si>
    <t>There was a conflict/ extortion, but now it is gone.</t>
  </si>
  <si>
    <t xml:space="preserve">They used to cultivate before, but due to major floods, sand came in and damaged the land </t>
  </si>
  <si>
    <t>আগে নষ্ট ago,it was spoiled</t>
  </si>
  <si>
    <t xml:space="preserve">Dredger Operation </t>
  </si>
  <si>
    <t>Male - related to sand (work/business), Female - works with coal</t>
  </si>
  <si>
    <t xml:space="preserve">Male- sand, Female- Stone </t>
  </si>
  <si>
    <t>Working in coal, trapped in stone work</t>
  </si>
  <si>
    <t>There was a Syndicate, and there was a lot of money-related fraud</t>
  </si>
  <si>
    <t xml:space="preserve">Shimultuli used to grow rice and crops; now, because erosion has lowered yields, the land is rented </t>
  </si>
  <si>
    <t xml:space="preserve">They extract 100–150 coal units here; in the past, women were more involved in the work </t>
  </si>
  <si>
    <t>Dredgerer</t>
  </si>
  <si>
    <t xml:space="preserve">Shimultuli was originally a sandbar where no farming took place </t>
  </si>
  <si>
    <t>Depend on how much they extrac</t>
  </si>
  <si>
    <t>Driver</t>
  </si>
  <si>
    <t>no way to get back to doing other works</t>
  </si>
  <si>
    <t xml:space="preserve">There was little cultivation in Shimultuli previously; now using it for work brings benefits.  </t>
  </si>
  <si>
    <t xml:space="preserve">Depends on how much extract </t>
  </si>
  <si>
    <t>Dredger</t>
  </si>
  <si>
    <t>Used to work in coal</t>
  </si>
  <si>
    <t>People got employment</t>
  </si>
  <si>
    <t xml:space="preserve">No crops used to grow in Shimultuli; the formerly unused land is now utilized. </t>
  </si>
  <si>
    <t>Collects coal</t>
  </si>
  <si>
    <t xml:space="preserve">Depends on how much </t>
  </si>
  <si>
    <t>Sand Arranging work</t>
  </si>
  <si>
    <t>Going to Dhaka for work, agricultural work</t>
  </si>
  <si>
    <t xml:space="preserve">Direct to sell </t>
  </si>
  <si>
    <t>Dredger Boy</t>
  </si>
  <si>
    <t>Before in agricultural work, now working in dredger</t>
  </si>
  <si>
    <t>was unemployed before so now do this</t>
  </si>
  <si>
    <t xml:space="preserve"> In Shimultuli, materials are stored temporarily; the area had pits and marshes </t>
  </si>
  <si>
    <t>Shimultuli was agricultural before</t>
  </si>
  <si>
    <t xml:space="preserve">Some areas of Shimultuli have pits. </t>
  </si>
  <si>
    <t>Scrap Worker</t>
  </si>
  <si>
    <t>Income is low, used to work in Dhaka</t>
  </si>
  <si>
    <t>Rice and other crops were grown in Shimultuli.</t>
  </si>
  <si>
    <t xml:space="preserve"> Sand mining increases the depth to 70–75 feet; normally it’s 10–20 feet. Big machines are handled by people from outside</t>
  </si>
  <si>
    <t xml:space="preserve">Farmer </t>
  </si>
  <si>
    <t xml:space="preserve">Not known </t>
  </si>
  <si>
    <t>Machine Boy</t>
  </si>
  <si>
    <t>Motorcycle, came here from work in Dhaka</t>
  </si>
  <si>
    <t>Sells it directly</t>
  </si>
  <si>
    <t>No comment</t>
  </si>
  <si>
    <t>Machine dredging has deepened the river to 30 feet; normally, it is 3–4 feet deep</t>
  </si>
  <si>
    <t>There was agricultural work before</t>
  </si>
  <si>
    <t>Sunamganj</t>
  </si>
  <si>
    <t>local people have negative perceptions about SM</t>
  </si>
  <si>
    <t xml:space="preserve">\Shimultuli was previously used for cultivation </t>
  </si>
  <si>
    <t>they will have to manage some other works</t>
  </si>
  <si>
    <t>Shimultuli</t>
  </si>
  <si>
    <t>Taking sheep, became affected</t>
  </si>
  <si>
    <t>Working in other places, came here from Dhaka</t>
  </si>
  <si>
    <t xml:space="preserve">Not learn in details </t>
  </si>
  <si>
    <t>None</t>
  </si>
  <si>
    <t>Vegetable work stopped due to more dredging</t>
  </si>
  <si>
    <t>Last year's vegetables didn't grow</t>
  </si>
  <si>
    <t>sell</t>
  </si>
  <si>
    <t>filed a case</t>
  </si>
  <si>
    <t xml:space="preserve">Rice cultivation and other farming took place in Shimultuli, but now the land is used for storing sand </t>
  </si>
  <si>
    <t>Came for work</t>
  </si>
  <si>
    <t>they only know SM related works</t>
  </si>
  <si>
    <t>Sand is stored for future sale</t>
  </si>
  <si>
    <t xml:space="preserve">Depend on how much they can extract </t>
  </si>
  <si>
    <t>Men handle the machines, while women avoid sand work due to its heaviness</t>
  </si>
  <si>
    <t>He came here two years back</t>
  </si>
  <si>
    <t>Machine Mechanic</t>
  </si>
  <si>
    <t>Working in Dhaka, migrating here</t>
  </si>
  <si>
    <t>Does not know much</t>
  </si>
  <si>
    <t>Due to more dredging, previous vegetable harvesting stopped</t>
  </si>
  <si>
    <t>Those who have money became rich, poor remain poor</t>
  </si>
  <si>
    <t>Minor conflicts sometimes arise concerning the dredgers</t>
  </si>
  <si>
    <t xml:space="preserve">Earlier, crops like rice and jute were grown; now, due to storing sand, the land is getting damaged. Since sand fetches more money, they rent out the land instead of cultivating it </t>
  </si>
  <si>
    <t>This year marks the start of Ghât No. 1, which is under government control</t>
  </si>
  <si>
    <t>Agriculture, cultivation</t>
  </si>
  <si>
    <t>Vegetable harvesting stopped, more work in river dredging</t>
  </si>
  <si>
    <t>conflicts arise</t>
  </si>
  <si>
    <t>The Raniganj Mission has filed a case.</t>
  </si>
  <si>
    <t xml:space="preserve">Much harm has been done. Previously, the land produced plenty of rice, but now rice farming is abandoned, and sand is stored instead. </t>
  </si>
  <si>
    <t>Coal lifting was done by females, and heavy machine operations are done by males.</t>
  </si>
  <si>
    <t>Higher income</t>
  </si>
  <si>
    <t>Various problems used to occur because of the presence of the Syndicate earlier</t>
  </si>
  <si>
    <t>Due to the Syndicate members exerting pressure and enforcing a closure</t>
  </si>
  <si>
    <t>Shimultuli–Nayapara: They used to graze cows and goats there. The land was fallow, and now they get good rent from the land</t>
  </si>
  <si>
    <t>Now there are very few women — only 40 out of 300</t>
  </si>
  <si>
    <t>Women do stone-collecting work, and men operate heavy machinery and do labor work</t>
  </si>
  <si>
    <t>Working in Dhaka, came here (worked in dredger in Sunamganj Jafarah)</t>
  </si>
  <si>
    <t>coal extraction got hampered</t>
  </si>
  <si>
    <t>social conflicts</t>
  </si>
  <si>
    <t>ShimulTuli used to have good crop production, but now the land is rented out for sand storage</t>
  </si>
  <si>
    <t>They collect coal from the bank/shore – 400–500 (people/units)</t>
  </si>
  <si>
    <t>Depend</t>
  </si>
  <si>
    <t>Women used to do labor work before, but now they don’t because machines have arrived; men do the heavy work</t>
  </si>
  <si>
    <t>came from Rangpur to work</t>
  </si>
  <si>
    <t>wet sands cause damage to the roads</t>
  </si>
  <si>
    <t>Shimu ltuli — the land used to be barren and unused.</t>
  </si>
  <si>
    <t>Depth after excavating 80 feet of sand</t>
  </si>
  <si>
    <t>used to do agri work eforehand but SM has more earning</t>
  </si>
  <si>
    <t>Shimul­tuli — they used to grow rice, which brought low income, but renting out the land gives higher income.</t>
  </si>
  <si>
    <t>came from Sylhet to work</t>
  </si>
  <si>
    <t xml:space="preserve">Not her any incident about that </t>
  </si>
  <si>
    <t>শিমুলতুলি - Not kmown</t>
  </si>
  <si>
    <t>Working in Dhaka</t>
  </si>
  <si>
    <t>they will get back to Nilphamari</t>
  </si>
  <si>
    <t>Normal depth is 10 feet, then they dig 50 feet of sand. If sand is still found, they will continue digging deeper — continuing until no sand is found</t>
  </si>
  <si>
    <t>Keeping land in Shimultuli - not known in details</t>
  </si>
  <si>
    <t>The sand quality is good here</t>
  </si>
  <si>
    <t>educated people think of it negeatively</t>
  </si>
  <si>
    <t>Shimul­tuli sells sand during the rainy season. After filling the pits, they stockpile sand again</t>
  </si>
  <si>
    <t>Coal/106 people</t>
  </si>
  <si>
    <t>Stone/11.58</t>
  </si>
  <si>
    <t>protests happen</t>
  </si>
  <si>
    <t>court cases have been filed</t>
  </si>
  <si>
    <t>local admins come and destroy dredgig machines</t>
  </si>
  <si>
    <t>Damage has occurred gradually</t>
  </si>
  <si>
    <t>3 people, when the stone work was going on.</t>
  </si>
  <si>
    <t>They only worked with coal and stone.</t>
  </si>
  <si>
    <t>River erosion</t>
  </si>
  <si>
    <t>Road problem</t>
  </si>
  <si>
    <t>Environmental</t>
  </si>
  <si>
    <t>Dredger pipe</t>
  </si>
  <si>
    <t>protests for envirmnetal harms caused</t>
  </si>
  <si>
    <t xml:space="preserve">was not extreame </t>
  </si>
  <si>
    <t>There hasn’t been much damage</t>
  </si>
  <si>
    <t>It used to happen 15 years ago.</t>
  </si>
  <si>
    <t>Females worked with stone and coal.
Males worked with sand, stone, and general labor.</t>
  </si>
  <si>
    <t>Used to lift stones by hand</t>
  </si>
  <si>
    <t>Vegetables</t>
  </si>
  <si>
    <t>The police administration used to seize/stop the boats.</t>
  </si>
  <si>
    <t>problems related to lease</t>
  </si>
  <si>
    <t>political conflicts</t>
  </si>
  <si>
    <t>Earlier, there were problems because the riverbank was high.</t>
  </si>
  <si>
    <t>Females clean coal and stones, and transport sand.
Males do labor work, operate boats and machines, and lift sand.</t>
  </si>
  <si>
    <t>Soil cutting</t>
  </si>
  <si>
    <t>There are border issues; BSF is creating obstacles and has even filed a case</t>
  </si>
  <si>
    <t>conflicts between UNO and lessees</t>
  </si>
  <si>
    <t>Problems between lease owners</t>
  </si>
  <si>
    <t>The land beside the river has been damaged</t>
  </si>
  <si>
    <t>There was no trouble</t>
  </si>
  <si>
    <t>Females work with stones, males do labor work.</t>
  </si>
  <si>
    <t>Used to get vegetables before, now don't</t>
  </si>
  <si>
    <t>Used to get stones</t>
  </si>
  <si>
    <t>Used to get clay, before that had sand</t>
  </si>
  <si>
    <t>Workers died annually during the bidding for the lease (on Pohela Boishakh)</t>
  </si>
  <si>
    <t>BSF and schools sued court filings</t>
  </si>
  <si>
    <t>always political conflicts happen</t>
  </si>
  <si>
    <t>Extensive land damage has occurred, which becomes evident during the flood.</t>
  </si>
  <si>
    <t>Females lift coal and stones by hand and using a sieve.
Males do labor work, lift sand, operate machines, drive trucks, and perform similar tasks</t>
  </si>
  <si>
    <t>machine</t>
  </si>
  <si>
    <t>environment</t>
  </si>
  <si>
    <t>Due to massive flood</t>
  </si>
  <si>
    <t>Females work with coal.
Males lift sand and operate dredgers, etc</t>
  </si>
  <si>
    <t>House breaking</t>
  </si>
  <si>
    <t>Used to guard nearby hills</t>
  </si>
  <si>
    <t>China clay indigenous people's carbon factory house breaking</t>
  </si>
  <si>
    <t>lease distribution conflicts</t>
  </si>
  <si>
    <t>prtoests for stopping road damage</t>
  </si>
  <si>
    <t>coflicts between lessees</t>
  </si>
  <si>
    <t>There is no agricultural land now; there might have been before, but it has been lost due to river erosion</t>
  </si>
  <si>
    <t xml:space="preserve">Female- Coal </t>
  </si>
  <si>
    <t>Flood</t>
  </si>
  <si>
    <t>dredger people vs public conflicts</t>
  </si>
  <si>
    <t>Females work with coal, stones, food stalls, and hotels.
Males lift sand and operate boats during the rainy season</t>
  </si>
  <si>
    <t>They are saying that if there were no dredgers, they could have continued extracting sand for another 50 years to make a living. The main problem is that damage is occurring because of the large dredgers.</t>
  </si>
  <si>
    <t xml:space="preserve">Driver </t>
  </si>
  <si>
    <t>River erosion, abandonment damage</t>
  </si>
  <si>
    <t>The lawsuit/case of BGB and BSF</t>
  </si>
  <si>
    <t>Political conflicts due to the auction</t>
  </si>
  <si>
    <t xml:space="preserve">Movement ( School, Local area ) </t>
  </si>
  <si>
    <t>Agricultural land has been damaged due to river erosion</t>
  </si>
  <si>
    <t>Females work with coal, stones, and wood chips.
Males work with sand, stones, and as laborers</t>
  </si>
  <si>
    <t>Riverbank collapse house, agricultural land damage</t>
  </si>
  <si>
    <t>conflicts arose between police admin and labors</t>
  </si>
  <si>
    <t>local admin has destroyed illegal extraction machines</t>
  </si>
  <si>
    <t>labours died due to internal conflicts</t>
  </si>
  <si>
    <t>Agricultural production has stopped</t>
  </si>
  <si>
    <t>Females transport coal.
Males do sand-lifting related work</t>
  </si>
  <si>
    <t xml:space="preserve">Druiver </t>
  </si>
  <si>
    <t>Coal, river erosion, bad environment</t>
  </si>
  <si>
    <t>School students commuting has major problems</t>
  </si>
  <si>
    <t>Accident</t>
  </si>
  <si>
    <t>court cases led to conflicts</t>
  </si>
  <si>
    <t>There has been erosion of the agricultural land nearby</t>
  </si>
  <si>
    <t>Males do labor work.
Females work with coal, stones, and wood chips</t>
  </si>
  <si>
    <t xml:space="preserve">Village Doctor </t>
  </si>
  <si>
    <t>There were good fish before</t>
  </si>
  <si>
    <t>Water problem, no water in tubewell due to sand</t>
  </si>
  <si>
    <t>Lack of soil for agricultural land</t>
  </si>
  <si>
    <t>Group conflict ( politics )</t>
  </si>
  <si>
    <t>border security people sued the workers</t>
  </si>
  <si>
    <t>a death occurred of a miner which caused lots of local chaos</t>
  </si>
  <si>
    <t>Earlier, farming was done using silt soil, but now it is lacking.</t>
  </si>
  <si>
    <t>Males work with sand.
Females run shops and work with coal.</t>
  </si>
  <si>
    <t>Earlier, there was plenty of coal and fish, but now, due to deep sand extraction, these are no longer present. The biggest problem in our area is the lack of clean water; tube wells do not provide water</t>
  </si>
  <si>
    <t xml:space="preserve">Machine Operator </t>
  </si>
  <si>
    <t>Riverbank houses collapsing</t>
  </si>
  <si>
    <t>Used to get coal before</t>
  </si>
  <si>
    <t>Riverbank people are all understanding people of the house</t>
  </si>
  <si>
    <t>get involved in other crimes</t>
  </si>
  <si>
    <t>Extensive damage has occurred due to the river being deepened too much.</t>
  </si>
  <si>
    <t>Females work with coal as well as wood chips, and tribal people work more compared to males.</t>
  </si>
  <si>
    <t>Student( Master's )</t>
  </si>
  <si>
    <t>The state of agriculture is very bad; they used to make a profit earlier.</t>
  </si>
  <si>
    <t>Females collect coal.
Males work with sand and as drivers.</t>
  </si>
  <si>
    <t>Manager (Sand)</t>
  </si>
  <si>
    <t>People's houses collapsing</t>
  </si>
  <si>
    <t>Water problem</t>
  </si>
  <si>
    <t>loaders conflic with each toehr for money</t>
  </si>
  <si>
    <t>lease distribution issues</t>
  </si>
  <si>
    <t>court cases</t>
  </si>
  <si>
    <t>There shouldn’t be any damage</t>
  </si>
  <si>
    <t>Females work with coal, though their numbers are few.</t>
  </si>
  <si>
    <t>Contractor</t>
  </si>
  <si>
    <t>There was stone</t>
  </si>
  <si>
    <t>No damage is done</t>
  </si>
  <si>
    <t>Females search for coal.
Males are involved in sand-related work.</t>
  </si>
  <si>
    <t>Businessman(pip)</t>
  </si>
  <si>
    <t>There was coal</t>
  </si>
  <si>
    <t>Fish were good</t>
  </si>
  <si>
    <t>China clay was available</t>
  </si>
  <si>
    <t>There has been no damage; on the contrary, it has been beneficial for everyone. Because the river is deeper, the water does not rise, so floods do not occur</t>
  </si>
  <si>
    <t>Females work with coal, stones, and run shops.
Males operate dredgers and lift sand.</t>
  </si>
  <si>
    <t xml:space="preserve">Driver / Operator </t>
  </si>
  <si>
    <t>Agricultural land disappeared due to river erosion</t>
  </si>
  <si>
    <t>People's houses have gone</t>
  </si>
  <si>
    <t>Tubewell water problem</t>
  </si>
  <si>
    <t>political conflicts for the ownership of the area</t>
  </si>
  <si>
    <t>there were conflicts related to lease</t>
  </si>
  <si>
    <t>protests were done by teachers and students</t>
  </si>
  <si>
    <t>Females work with coal, in the river, in hotels, and in cooking.
Males are engaged in sand work. 80% are people from North Bengal.</t>
  </si>
  <si>
    <t xml:space="preserve">Manager </t>
  </si>
  <si>
    <t>Roads are being damaged</t>
  </si>
  <si>
    <t>Water problem, flood water came from upstream</t>
  </si>
  <si>
    <t>religious conflicts</t>
  </si>
  <si>
    <t>political issues</t>
  </si>
  <si>
    <t>extortion was there beforehand</t>
  </si>
  <si>
    <t>Female: Only collects coal, Male: Does sand-related work.</t>
  </si>
  <si>
    <t xml:space="preserve">Dredger Owner </t>
  </si>
  <si>
    <t>extortion beforehand</t>
  </si>
  <si>
    <t>lease related problems</t>
  </si>
  <si>
    <t>there were protests</t>
  </si>
  <si>
    <t xml:space="preserve">Female- Stone, Male - Sand work </t>
  </si>
  <si>
    <t>There was china clay before</t>
  </si>
  <si>
    <t>people will start doing illegal money generation activities</t>
  </si>
  <si>
    <t>syndicatewas there beforehand</t>
  </si>
  <si>
    <t>problems related to royalty</t>
  </si>
  <si>
    <t>problems in lease distribution</t>
  </si>
  <si>
    <t>There is no problem; in fact, it has gotten better. The river is deeper, so there is no flood.</t>
  </si>
  <si>
    <t>Female: Collects coal, Male: Sand-related work.</t>
  </si>
  <si>
    <t>Stone, Coal</t>
  </si>
  <si>
    <t>earlier syndicate was there, now the local MP runs everything</t>
  </si>
  <si>
    <t>there were local conflicts</t>
  </si>
  <si>
    <t>I don't see any issue.</t>
  </si>
  <si>
    <t xml:space="preserve">Female-Coal, Male- Sand, Labour, Driver </t>
  </si>
  <si>
    <t>It hasn't been much; it happened before because of the flood.</t>
  </si>
  <si>
    <t xml:space="preserve">Female- Coal , Male - Sand </t>
  </si>
  <si>
    <t xml:space="preserve">Syndicate </t>
  </si>
  <si>
    <t>local businessman were not happy</t>
  </si>
  <si>
    <t>There was no agricultural land.</t>
  </si>
  <si>
    <t>Female: Works in coal and a hotel, Male: Does all sand-related work</t>
  </si>
  <si>
    <t>conflicts due to leasing used to happen</t>
  </si>
  <si>
    <t>Female- Coal, Male- Sand related</t>
  </si>
  <si>
    <t>Dock Manager</t>
  </si>
  <si>
    <t>no damage is done</t>
  </si>
  <si>
    <t>Female: Works in a hotel, Male: Sand work, Dredger</t>
  </si>
  <si>
    <t xml:space="preserve">Stone </t>
  </si>
  <si>
    <t>no agricultural land is around</t>
  </si>
  <si>
    <t>Female: Gathers coal, Male: Sand-related work.</t>
  </si>
  <si>
    <t>No impact</t>
  </si>
  <si>
    <t>Male- sand, Female - Coal</t>
  </si>
  <si>
    <t>Female: Gathers coal, Male: Does sand-related work</t>
  </si>
  <si>
    <t>Even small children search for coal and sawdust</t>
  </si>
  <si>
    <t xml:space="preserve">Female- Coal, Male- Sand work </t>
  </si>
  <si>
    <t xml:space="preserve">Dredger Operator </t>
  </si>
  <si>
    <t>problems related to leaseholder selection</t>
  </si>
  <si>
    <t>Females work with coal and in shops.
Males work with sand.</t>
  </si>
  <si>
    <t>Shop</t>
  </si>
  <si>
    <t>Only coal</t>
  </si>
  <si>
    <t>Used to get firewood</t>
  </si>
  <si>
    <t>Earlier, less land was damaged; now, more land is being damaged.</t>
  </si>
  <si>
    <t>Females work with coal and wood chips.
Males work with sand.</t>
  </si>
  <si>
    <t>Damage has occurred</t>
  </si>
  <si>
    <t>Females break coal.
Males work with sand</t>
  </si>
  <si>
    <t>To be honest, the workers do not make any progress. Most of the money is earned by the influential people of the area. We bring in money daily and spend it daily, so there is no improvement. We remain in the same position as before.</t>
  </si>
  <si>
    <t xml:space="preserve">Female- Coal, Male- Sand </t>
  </si>
  <si>
    <t>5/6</t>
  </si>
  <si>
    <t>The crops on the land beside the river were damaged before</t>
  </si>
  <si>
    <t>Earlier, because it was higher, water would rise and flood the surrounding area.</t>
  </si>
  <si>
    <t xml:space="preserve">Female- Coal, Shop, Male- Sand work </t>
  </si>
  <si>
    <t>The current system cannot be stopped. Because of sand extraction, the river and the surrounding area are now in good condition.</t>
  </si>
  <si>
    <t>There used to be agricultural land around, and everyone used to cultivate it.</t>
  </si>
  <si>
    <t xml:space="preserve">Female- Coal, Male - Sand related work </t>
  </si>
  <si>
    <t>Shop Owner</t>
  </si>
  <si>
    <t>Everyone was delivering coal</t>
  </si>
  <si>
    <t>Agricultural land</t>
  </si>
  <si>
    <t>conflics happened between regular people and leaseholder because regular people were harmed</t>
  </si>
  <si>
    <t>lots of problems related to leasing distribution</t>
  </si>
  <si>
    <t>Extensive damage is occurring; there used to be agricultural land all around there.</t>
  </si>
  <si>
    <t>Females work with coal.
Males work with sand</t>
  </si>
  <si>
    <t>syndicate caused many problems</t>
  </si>
  <si>
    <t>On this land, renting it out gives more money than cultivating it.</t>
  </si>
  <si>
    <t>2/4</t>
  </si>
  <si>
    <t>They work on breaking stones along with coal and sand.</t>
  </si>
  <si>
    <t xml:space="preserve">Bamboo Business </t>
  </si>
  <si>
    <t>There was coal before</t>
  </si>
  <si>
    <t>Stone was collected</t>
  </si>
  <si>
    <t>The lands are rented out. Previously, rice was cultivated on them, but now there is no silt soil due to sand extraction</t>
  </si>
  <si>
    <t>Females search for coal.
Males work with sand.</t>
  </si>
  <si>
    <t>Female- Coal,Shop,  Male- Sand</t>
  </si>
  <si>
    <t>The depth of the river is 40 feet.”</t>
  </si>
  <si>
    <t xml:space="preserve">Female- Coal, Shop, Male- Dredger </t>
  </si>
  <si>
    <t>Very little.</t>
  </si>
  <si>
    <t>Females work with coal and in food stalls.
Males work with sand</t>
  </si>
  <si>
    <t>Worker</t>
  </si>
  <si>
    <t>stone mining</t>
  </si>
  <si>
    <t>There is no land around.</t>
  </si>
  <si>
    <t>Females work with coal and wood chips.
Males work with sand, dredgers, and trucks</t>
  </si>
  <si>
    <t>local conflicst arose between local people and lease owners</t>
  </si>
  <si>
    <t>But instead of cultivating, people rent out their land and earn more money</t>
  </si>
  <si>
    <t>2./3</t>
  </si>
  <si>
    <t xml:space="preserve">Female- Coal, Male- Sand related work, Dredger, Pipe, etc </t>
  </si>
  <si>
    <t>tourism</t>
  </si>
  <si>
    <t>y</t>
  </si>
  <si>
    <t>sand comes with water from u/s and it will continue forever</t>
  </si>
  <si>
    <t>Lack of understanding of environmental impacts</t>
  </si>
  <si>
    <t>jealousy to see sand miners being profited</t>
  </si>
  <si>
    <t>people can do both agriculture and sm now</t>
  </si>
  <si>
    <t>mild</t>
  </si>
  <si>
    <t>no</t>
  </si>
  <si>
    <t>men- dredger, truck driving, loading, oat transport, restaurants; woman- restaurants only</t>
  </si>
  <si>
    <t>theres no reason for it to stop</t>
  </si>
  <si>
    <t xml:space="preserve">crop fileds are ruined </t>
  </si>
  <si>
    <t>moderate</t>
  </si>
  <si>
    <t>n</t>
  </si>
  <si>
    <t>severe</t>
  </si>
  <si>
    <t>none</t>
  </si>
  <si>
    <t>restaurant owener</t>
  </si>
  <si>
    <t>sublessee</t>
  </si>
  <si>
    <t>truck labour</t>
  </si>
  <si>
    <t>truck driver</t>
  </si>
  <si>
    <t>very severe</t>
  </si>
  <si>
    <t>villager</t>
  </si>
  <si>
    <t>store owner</t>
  </si>
  <si>
    <t>store employee</t>
  </si>
  <si>
    <t>Yes'</t>
  </si>
  <si>
    <t>shop keeper</t>
  </si>
  <si>
    <t>teacher</t>
  </si>
  <si>
    <t>money collector</t>
  </si>
  <si>
    <t>Supplementary instrument S1 to S10, with fielded results by occupational group</t>
  </si>
  <si>
    <t>Percentages are source data from someshwari_survey_validated_v2.xlsx (group-level aggregate, not respondent records). Counts are formulas, = ROUND(percent x group n, 0); all 153 source cells resolve to exact whole persons. Denominators are the full group sizes 106 / 75 / 156; the 10 Unspecified respondents in sheet 347 are not covered, so the S-block base is 337, not 347.</t>
  </si>
  <si>
    <t>Instrument-to-field mismatch, unresolved. S1, S3, S4, S5 and all five S6 sub-items match the written questionnaire. S2 lost its third option. S7 was fielded with three relabelled options out of five. S8 shares one category of four with the questionnaire. S9 shares none of five. This is consistent with a different field version of the instrument for S7 to S9; a photo of the field forms would settle it. Until then, S8 and S9 results should not be described in the manuscript as answers to the wording below.</t>
  </si>
  <si>
    <t>Item</t>
  </si>
  <si>
    <t>Block</t>
  </si>
  <si>
    <t>Question</t>
  </si>
  <si>
    <t>Code</t>
  </si>
  <si>
    <t>Response option (as fielded)</t>
  </si>
  <si>
    <t>Match to questionnaire</t>
  </si>
  <si>
    <t>Core SM %</t>
  </si>
  <si>
    <t>Core SM n</t>
  </si>
  <si>
    <t>Linked %</t>
  </si>
  <si>
    <t>Linked n</t>
  </si>
  <si>
    <t>Non-Related %</t>
  </si>
  <si>
    <t>Non-Related n</t>
  </si>
  <si>
    <t>All %</t>
  </si>
  <si>
    <t>All n</t>
  </si>
  <si>
    <t>Notes</t>
  </si>
  <si>
    <t>Single select</t>
  </si>
  <si>
    <t>Local political leader</t>
  </si>
  <si>
    <t>Exact</t>
  </si>
  <si>
    <t>R2 node: elite and patron control of access.</t>
  </si>
  <si>
    <t>Government lease</t>
  </si>
  <si>
    <t>Company</t>
  </si>
  <si>
    <t>Label variant of 'Mining company'</t>
  </si>
  <si>
    <t>Open access</t>
  </si>
  <si>
    <t>Don't know</t>
  </si>
  <si>
    <t>Aware</t>
  </si>
  <si>
    <t>Label variant of 'Yes'</t>
  </si>
  <si>
    <t>Gate item for S3.</t>
  </si>
  <si>
    <t>Unaware</t>
  </si>
  <si>
    <t>Label variant of 'No'</t>
  </si>
  <si>
    <t>Heard of but don't know details</t>
  </si>
  <si>
    <t>Not fielded</t>
  </si>
  <si>
    <t>If yes, are those regulations enforced?</t>
  </si>
  <si>
    <t>Single select (written as conditional on S2 = Yes)</t>
  </si>
  <si>
    <t>Strictly</t>
  </si>
  <si>
    <t>R2 node: weak enforcement. Routing was not applied in the field, see note above.</t>
  </si>
  <si>
    <t>Sometimes</t>
  </si>
  <si>
    <t>Rarely</t>
  </si>
  <si>
    <t>Never</t>
  </si>
  <si>
    <t>Never tried</t>
  </si>
  <si>
    <t>Core B1 measure: the grievance-to-enforcement transition. Nobody in any group reports a complaint being addressed.</t>
  </si>
  <si>
    <t>Tried, no response</t>
  </si>
  <si>
    <t>Tried, faced pressure</t>
  </si>
  <si>
    <t>Label variant of 'Tried, faced pressure to stop'</t>
  </si>
  <si>
    <t>Tried, addressed</t>
  </si>
  <si>
    <t>Label variant of 'Tried, issue was addressed'</t>
  </si>
  <si>
    <t>Very fair</t>
  </si>
  <si>
    <t>Pairs with S3 in the diverging Likert figure.</t>
  </si>
  <si>
    <t>Fair</t>
  </si>
  <si>
    <t>Label variant of 'Somewhat fair'</t>
  </si>
  <si>
    <t>Unfair</t>
  </si>
  <si>
    <t>Very unfair</t>
  </si>
  <si>
    <t>Increased</t>
  </si>
  <si>
    <t>S6 is one matrix item with five sub-items sharing this scale.</t>
  </si>
  <si>
    <t>Same</t>
  </si>
  <si>
    <t>Decreased</t>
  </si>
  <si>
    <t>What do you think is the single biggest cause of any environmental change you've seen along the river?</t>
  </si>
  <si>
    <t>Mechanized dredging</t>
  </si>
  <si>
    <t>Label variant of 'Sand mining'</t>
  </si>
  <si>
    <t>Three of five questionnaire options were fielded, all relabelled.</t>
  </si>
  <si>
    <t>Natural floods</t>
  </si>
  <si>
    <t>Label variant of 'Flooding'</t>
  </si>
  <si>
    <t>Climate change</t>
  </si>
  <si>
    <t>Label variant of 'Climate or rainfall'</t>
  </si>
  <si>
    <t>Upstream changes</t>
  </si>
  <si>
    <t>Other (specify)</t>
  </si>
  <si>
    <t>Sand mining income</t>
  </si>
  <si>
    <t>MISMATCH: only one of four fielded categories appears in the questionnaire.</t>
  </si>
  <si>
    <t>Transport demand</t>
  </si>
  <si>
    <t>Not in questionnaire</t>
  </si>
  <si>
    <t>Riverbank erosion</t>
  </si>
  <si>
    <t>Health and dust</t>
  </si>
  <si>
    <t>Loss of farmland</t>
  </si>
  <si>
    <t>Population growth</t>
  </si>
  <si>
    <t>Government policy</t>
  </si>
  <si>
    <t>Loss of homestead</t>
  </si>
  <si>
    <t>MISMATCH: none of the five fielded categories appears in the questionnaire.</t>
  </si>
  <si>
    <t>Failure of embankments</t>
  </si>
  <si>
    <t>Road destruction</t>
  </si>
  <si>
    <t>Complete sand depletion</t>
  </si>
  <si>
    <t>Legal penalties</t>
  </si>
  <si>
    <t>If farmland is lost</t>
  </si>
  <si>
    <t>If the river dries up</t>
  </si>
  <si>
    <t>If health problems increase</t>
  </si>
  <si>
    <t>If only outsiders benefit</t>
  </si>
  <si>
    <t>It's already unacceptable</t>
  </si>
  <si>
    <t>It will never be unacceptable</t>
  </si>
  <si>
    <t>Open-ended, post-coded</t>
  </si>
  <si>
    <t>Ban mechanized dredgers</t>
  </si>
  <si>
    <t>Post-coded from open answers</t>
  </si>
  <si>
    <t>The only open item. The five categories below are a post-hoc code frame, not read-out options.</t>
  </si>
  <si>
    <t>Strict limits enforcement</t>
  </si>
  <si>
    <t>Manual mining only</t>
  </si>
  <si>
    <t>Rotational schedules</t>
  </si>
  <si>
    <t>Infrastructure development</t>
  </si>
  <si>
    <t>NOTES: (1) Disadvantages_raw is blank for all items except FGD 1 rank ৩; that cell appears to contain a column slip from the source document because the text is another advantage statement. (2) FGDs 1–3 begin at rank ৩; ranks ১ and ২ are missing. (3) Group composition (male/female/mixed) is not recorded for any FGD.</t>
  </si>
  <si>
    <t>FGD_ID</t>
  </si>
  <si>
    <t>Rank</t>
  </si>
  <si>
    <t>Advantages_raw</t>
  </si>
  <si>
    <t>Disadvantages_raw</t>
  </si>
  <si>
    <t>FGD 1</t>
  </si>
  <si>
    <t>৩</t>
  </si>
  <si>
    <t>ভিন্ন এলাকার মানুষের আচার ব্যবহার ও চাল চলনের বিস্তৃতি । diversity in the area as people from different districts come to work</t>
  </si>
  <si>
    <t>ব্যবসায়ীক স্বার্থে দেশের বিচিত্র এলাকার মানুষের সাথে যোগাযোগ বৃদ্ধি । Increased communication with people from various regions of the country for business purposes</t>
  </si>
  <si>
    <t>৪</t>
  </si>
  <si>
    <t>এলাকার আধুনিকায়ন । urbanization of the area</t>
  </si>
  <si>
    <t>৫</t>
  </si>
  <si>
    <t>চিকিৎসা সেবা গ্রহনের পরিমাণ বৃদ্ধি । more treatment facilities</t>
  </si>
  <si>
    <t>FGD 2</t>
  </si>
  <si>
    <t>এলাকার মানুষের ব্যাক্তিগত ব্যাবহারিক কাজের দক্ষতার উন্নয়ন । practical</t>
  </si>
  <si>
    <t>এলাকার সবাই একই কাজের সাথে সংযুক্ত থাকায় তাদের মধ্যে একতার পরিমাণ বৃদ্ধি । more unity as revenue stream comes from singular activity</t>
  </si>
  <si>
    <t>সরকারের রাজস্ব বৃদ্ধি । higher reveneu</t>
  </si>
  <si>
    <t>৬</t>
  </si>
  <si>
    <t>সম্পত্তির বৃদ্ধি । increase in money flow</t>
  </si>
  <si>
    <t>FGD 3</t>
  </si>
  <si>
    <t>অবকাঠামোগত উন্নয়ন ।Infrastructure development</t>
  </si>
  <si>
    <t>শিক্ষার হার বৃদ্ধি । Increase in literacy rate</t>
  </si>
  <si>
    <t>বালি উত্তোলনকে কেন্দ্র করে প্রত্যক্ষ ও পরোক্ষ কর্মসংস্থান সৃষ্টি । Direct and indirect employment opportunity centered around sand extraction</t>
  </si>
  <si>
    <t>ভাসমান ক্ষুদ্র ব্যবসায়ীর সংখ্যা বৃদ্ধি । Increase in the number of mobile small vendors</t>
  </si>
  <si>
    <t>৭</t>
  </si>
  <si>
    <t>বেকারত্তের হার হ্রাস পাওয়া । Decrease in unemployment rate</t>
  </si>
  <si>
    <t>FGD 4</t>
  </si>
  <si>
    <t>১</t>
  </si>
  <si>
    <t>আর্থিক উন্নতি । Economic improvement</t>
  </si>
  <si>
    <t>২</t>
  </si>
  <si>
    <t>কর্মসংস্থান সৃষ্টি । Employment generation</t>
  </si>
  <si>
    <t>সামাজিক পদ মর্যাদা বৃদ্ধি । Increase in social status</t>
  </si>
  <si>
    <t>NOTE: Phone numbers truncated to last 4 digits (format xxxx-NNNN). Full numbers in source file FGD_KII.docx — do not distribute that file. Economic columns Q6–Q15 are verbatim text from the field forms. Q8 (revenue split) is blank for all 5 informants.</t>
  </si>
  <si>
    <t>KII_ID</t>
  </si>
  <si>
    <t>Name</t>
  </si>
  <si>
    <t>Phone</t>
  </si>
  <si>
    <t>Residence</t>
  </si>
  <si>
    <t>Age_band</t>
  </si>
  <si>
    <t>Marital_status</t>
  </si>
  <si>
    <t>Children</t>
  </si>
  <si>
    <t>Religion</t>
  </si>
  <si>
    <t>Education</t>
  </si>
  <si>
    <t>Years_in_sand_business</t>
  </si>
  <si>
    <t>Sand_grades_sold</t>
  </si>
  <si>
    <t>Price_varies_by_season</t>
  </si>
  <si>
    <t>Q6_prices_raw</t>
  </si>
  <si>
    <t>Q7_stakeholders_raw</t>
  </si>
  <si>
    <t>Q8_money_to_stakeholders_raw</t>
  </si>
  <si>
    <t>Q9_transport_cost_raw</t>
  </si>
  <si>
    <t>Q10_government_revenue_loss_raw</t>
  </si>
  <si>
    <t>Q12_exported_aggregates_raw</t>
  </si>
  <si>
    <t>Q14_equipment_raw</t>
  </si>
  <si>
    <t>Q15_volume_raw</t>
  </si>
  <si>
    <t>KII 1</t>
  </si>
  <si>
    <t>Rakibul</t>
  </si>
  <si>
    <t>xxxx-3784</t>
  </si>
  <si>
    <t>Local</t>
  </si>
  <si>
    <t>35-44</t>
  </si>
  <si>
    <t>Married</t>
  </si>
  <si>
    <t>3-4</t>
  </si>
  <si>
    <t>Muslim</t>
  </si>
  <si>
    <t>Secondary education (up to class 10)</t>
  </si>
  <si>
    <t>Self-employed</t>
  </si>
  <si>
    <t>Not marked</t>
  </si>
  <si>
    <t>Types | Price in Season Monsoon 4000( 600F) | Price in Season 2 Winter
Selection | 6 mont | 6 mont( 6500 )
বিট বালু fine sand | No tk( ক্রম মাত্র ) | _</t>
  </si>
  <si>
    <t>KII 2</t>
  </si>
  <si>
    <t>Shuvro Beg</t>
  </si>
  <si>
    <t>xxxx-8980</t>
  </si>
  <si>
    <t>Durgapur, Sadar</t>
  </si>
  <si>
    <t>25-34</t>
  </si>
  <si>
    <t>University degree (Hon-Eco)</t>
  </si>
  <si>
    <t>Government employee</t>
  </si>
  <si>
    <t xml:space="preserve">Types | Price in Season Monsoon | Price in Season 2 Winter
চিকন বালু fine sand |  | 
মোটা বালু coarse sand |  | 
মিক্সার বালু mixed sand |  | </t>
  </si>
  <si>
    <t>1000000 BDT</t>
  </si>
  <si>
    <t>KII 3</t>
  </si>
  <si>
    <t>Joynal Abedin</t>
  </si>
  <si>
    <t>xxxx-5343</t>
  </si>
  <si>
    <t>1-2</t>
  </si>
  <si>
    <t>Higher secondary education (up to class 12)</t>
  </si>
  <si>
    <t>Types | Price in Season Monsoon | Price in Season 2 Winter
Selection | 7000 | 4000
বিট বালু fine sand | _ | _
নূরি বালু powdery sand | 1=12500 | 1=9000</t>
  </si>
  <si>
    <t>Labor
Management
Owner
Bidder</t>
  </si>
  <si>
    <t>The cost for every day is 40,000</t>
  </si>
  <si>
    <t>10,00000 BDT</t>
  </si>
  <si>
    <t xml:space="preserve">6, Silinder - 350000
4 ” - ”
2 ” - 150000
Digel Ergi - 50000 - 100000
32 - ”
40 - ”
Type of aggregate | Price in BDT for each unit cft
Ergeire, Pump, Pipe, বাঁশ, দড়ি, প্লাস্টিক নেট । bamboo, rope, plastic net | </t>
  </si>
  <si>
    <t>Names of equipment and machinery | Volume extracted each day
6 Silinder, 4 Sil | 15 trek ( 500 F )
বাকি গুলো the rest | 7-8 trek</t>
  </si>
  <si>
    <t>KII 4</t>
  </si>
  <si>
    <t>Azizur Rahman</t>
  </si>
  <si>
    <t>xxxx-2989</t>
  </si>
  <si>
    <t>Lopal</t>
  </si>
  <si>
    <t>45-54</t>
  </si>
  <si>
    <t>5+</t>
  </si>
  <si>
    <t>Types | Price in Season Monsoon | Price in Season 2 Winter
মোটা Thick | 6000 | 3000( রয়ালটি বেশি ) higher royalty
মিডিয়াম medium |  | 3500( রয়ালটি কম ) lower royalty
বিট smaller grade | শুধু লোড করা | “</t>
  </si>
  <si>
    <t>১.গাড়ী car
২. বালি বিক্রেতা sand seller
৩. রয়ালটি royalty</t>
  </si>
  <si>
    <t>Type of aggregate | Price in BDT for each unit cft
60 % Indian (6 silinder ) ( Cost 30k daily ) | 15000 daily
20% Japan ( 6 ” ) | ”
20% China ( 1 Silinder ) → 5k daily
( 8k cost daily )
4 Silider → 8k daily
( 15k cost daily )</t>
  </si>
  <si>
    <t xml:space="preserve">Names of equipment and machineries | Description
১. বাঁশ, রশি bamboo, rope | 
২. ডিজেল , ড্রাম diesel, drum | 
৩.বালির পাম্প sand pump | 
৪.পাইপ pipe | </t>
  </si>
  <si>
    <t>Names of equipment and machineries | Volume extracted each day
6 Silinder | 20 গাড়ী ( বড় ) 500F car (big)
4/1 sil | 10 গাড়ী __ __ car</t>
  </si>
  <si>
    <t>KII 5</t>
  </si>
  <si>
    <t>Fazlul Rabbi</t>
  </si>
  <si>
    <t>xxxx-3378</t>
  </si>
  <si>
    <t>Primary education (up to class 5)</t>
  </si>
  <si>
    <t>Types | Price in Season Monsoon | Price in Season 2 Winter</t>
  </si>
  <si>
    <t>Recent FGD field forms — 4 completed FGDs</t>
  </si>
  <si>
    <t>Source: Someshwari_4KII_4FGD_Field_Forms_Filled(1).docx. Raw entries are preserved in source order; future targeted FGD is not included.</t>
  </si>
  <si>
    <t>Session_ID</t>
  </si>
  <si>
    <t>Role / group</t>
  </si>
  <si>
    <t>Source_order</t>
  </si>
  <si>
    <t>Section</t>
  </si>
  <si>
    <t>Raw_entry</t>
  </si>
  <si>
    <t>FGD A</t>
  </si>
  <si>
    <t>7–9 Garo (Mandi) Women (Female Facilitator)</t>
  </si>
  <si>
    <t>META</t>
  </si>
  <si>
    <t>Date: 14 November 2024   |   Village: Kamarkhali   |   Union: Kullagora</t>
  </si>
  <si>
    <t>Distance to bank: [X] Under a quarter mile</t>
  </si>
  <si>
    <t>Participants: Total = 8 (Women = 8, Men = 0)</t>
  </si>
  <si>
    <t>Community: Garo = 8</t>
  </si>
  <si>
    <t>Occupations: Coal sorting = 4, Day labor = 2, Housewives/Farming = 2</t>
  </si>
  <si>
    <t>Verbal Consent: [X] Yes   |   Audio &amp; Photos: [X] Yes</t>
  </si>
  <si>
    <t>Exercise 1. Ranked Advantages &amp; Disadvantages</t>
  </si>
  <si>
    <t>SECTION</t>
  </si>
  <si>
    <t>Exercise 1</t>
  </si>
  <si>
    <t>Rank | Advantage (সুবিধা) | Disadvantage (অসুবিধা)</t>
  </si>
  <si>
    <t>1 | Coal sorting cash income (কয়লা কুড়ানো ও ধোয়ার কাজ) | Erosion of ancestral matrilineal land (পৈতৃক জমি নদীভাঙনে বিলীন)</t>
  </si>
  <si>
    <t>2 | Small shop &amp; tea stall sales (ছোট দোকান ও হোটেল ব্যবসা) | Loss of clean drinking water &amp; tubewell drop (বিশুদ্ধ পানির তীব্র সংকট)</t>
  </si>
  <si>
    <t>3 | Emergency cash borrowing options (জরুরি টাকা পাওয়ার সুযোগ) | Safety concerns &amp; fear near dredger ghats (সন্ধ্যা হলে যাতায়াতের ভয়)</t>
  </si>
  <si>
    <t>4 | Roadside transport availability (ভ্যান ও ইজিবাইক চলাচল) | Severe dust causing children's illness (ধুলাবালিতে শিশুদের কাশি)</t>
  </si>
  <si>
    <t>5 | Temporary day labor opportunities (কায়িক শ্রমের কাজ) | Disruption of traditional farming &amp; wood collecting (কৃষি কাজ বন্ধ)</t>
  </si>
  <si>
    <t>Exercise 2. Show of Hands Counts (N=8 Garo Women)</t>
  </si>
  <si>
    <t>1</t>
  </si>
  <si>
    <t>1. Household earned from sand/coal: 5 / 8</t>
  </si>
  <si>
    <t>2</t>
  </si>
  <si>
    <t>2. Lost land to riverbank erosion since 2019: 7 / 8</t>
  </si>
  <si>
    <t>3</t>
  </si>
  <si>
    <t>3. Complained about sand mining: 3 / 8</t>
  </si>
  <si>
    <t>4</t>
  </si>
  <si>
    <t>4. Faced pressure to stop: 3 / 8</t>
  </si>
  <si>
    <t>5</t>
  </si>
  <si>
    <t>5. Complaint led to problem fixed: 0 / 8</t>
  </si>
  <si>
    <t>6</t>
  </si>
  <si>
    <t>6. Dust was serious problem: 8 / 8</t>
  </si>
  <si>
    <t>7</t>
  </si>
  <si>
    <t>7. Cough/breathing trouble &gt;2 weeks: 7 / 8</t>
  </si>
  <si>
    <t>8</t>
  </si>
  <si>
    <t>8. Noise disturbed sleep at night: 7 / 8</t>
  </si>
  <si>
    <t>9</t>
  </si>
  <si>
    <t>9. Someone injured doing sand work: 2 / 8</t>
  </si>
  <si>
    <t>10</t>
  </si>
  <si>
    <t>10. Extraction could not continue this way: 8 / 8</t>
  </si>
  <si>
    <t>Exercise 3. Where Complaint Stops</t>
  </si>
  <si>
    <t>Complaint node</t>
  </si>
  <si>
    <t>Node where complaint stops: [X] At the Union Parishad</t>
  </si>
  <si>
    <t>Cards order</t>
  </si>
  <si>
    <t>Cards Order (1 to 7):</t>
  </si>
  <si>
    <t>1. কোনো লাভ হবে না (Futile)  2. ঝামেলার ভয় (Fear of trouble)  3. কোথায় যেতে হবে জানি না (Lack of knowledge)  4. সময় ও টাকা লাগে (Cost/Time)  5. আমাদের পরিবারও বালু/কয়লা থেকে আয় করে  6. অন্যরা করছে  7. আমাদের ক্ষতি হয়নি</t>
  </si>
  <si>
    <t>Exercise 5. Women's Show of Hands &amp; Open Round</t>
  </si>
  <si>
    <t>1. Earn cash yourself: 6 / 8</t>
  </si>
  <si>
    <t>2. Earning work connected to sand/coal: 5 / 8</t>
  </si>
  <si>
    <t>3. Paid less than men for same work: 8 / 8</t>
  </si>
  <si>
    <t>4. Family land comes through women: 8 / 8</t>
  </si>
  <si>
    <t>5. Woman's land used without agreement: 6 / 8</t>
  </si>
  <si>
    <t>6. Do not feel safe walking past ghats after dark: 7 / 8</t>
  </si>
  <si>
    <t>7. Water/wood collection takes longer than 5 yrs ago: 8 / 8</t>
  </si>
  <si>
    <t>Group judgement</t>
  </si>
  <si>
    <t>Group Judgement: ☑ A serious problem</t>
  </si>
  <si>
    <t>Open round</t>
  </si>
  <si>
    <t>Open Round (Verbatim Bangla):</t>
  </si>
  <si>
    <t>"আমাদের পৈতৃক জমি নদীতে চলে গেছে, আর চারপাশের ধূলাবালি ও ট্রকাওয়ালাদের কারণে আমরা আগের মতো শান্তিতে ভিটেমাটিতে বসবাস করতে পারছি না।"</t>
  </si>
  <si>
    <t>FGD B</t>
  </si>
  <si>
    <t>7–9 Bengali Women (Female Facilitator)</t>
  </si>
  <si>
    <t>Date: 14 November 2024   |   Village: Birisiri   |   Union: Kullagora</t>
  </si>
  <si>
    <t>Distance to bank: [X] A quarter to 1 mile</t>
  </si>
  <si>
    <t>Community: Bengali = 8</t>
  </si>
  <si>
    <t>Occupations: Housewives = 5, Small shopkeepers = 2, Tailor = 1</t>
  </si>
  <si>
    <t>1 | Income for male family members (পরিবারের পুরুষদের রোজগার) | Dust coating houses and causing child asthma (ঘরের ধুলাবালি ও শিশুদের অ্যাজমা)</t>
  </si>
  <si>
    <t>2 | Expansion of grocery shops (দোকানপাটের বেচাকেনা বৃদ্ধি) | Nighttime heavy truck noise breaking sleep (রাতে ট্রাকের বিকট শব্দে ঘুম ভাঙা)</t>
  </si>
  <si>
    <t>3 | Better autorickshaw transport (ভ্যান ও ইজিবাইক বৃদ্ধি) | Road damage &amp; danger to children on roads (পাকা রাস্তা ভেঙে গর্ত ও দুর্ঘটনা)</t>
  </si>
  <si>
    <t>4 | Higher house/land rent values (বাসাবাড়ির ভাড়া বৃদ্ধি) | Loss of domestic tube well water level (টিউবওয়েলে পানি না ওঠা)</t>
  </si>
  <si>
    <t>5 | General cash flow in village (বাজারে টাকার চলাচল) | Social conflicts &amp; bad atmosphere near ghats (পাড়ায় সামাজিক কলহ ও বাজে পরিবেশ)</t>
  </si>
  <si>
    <t>Exercise 2. Show of Hands Counts (N=8 Bengali Women)</t>
  </si>
  <si>
    <t>1. Household earned from sand/transport: 3 / 8</t>
  </si>
  <si>
    <t>2. Lost land to riverbank erosion since 2019: 4 / 8</t>
  </si>
  <si>
    <t>3. Complained about sand mining: 2 / 8</t>
  </si>
  <si>
    <t>4. Faced pressure to stop: 2 / 8</t>
  </si>
  <si>
    <t>8. Noise disturbed sleep at night: 8 / 8</t>
  </si>
  <si>
    <t>9. Someone injured doing sand work: 1 / 8</t>
  </si>
  <si>
    <t>Node where complaint stops: [X] At the UP Member</t>
  </si>
  <si>
    <t>1. কোনো লাভ হবে না  2. ঝামেলার ভয়  3. সময় ও টাকা লাগে  4. আমাদের পরিবারও বালু থেকে আয় করে  5. কোথায় যেতে হবে জানি না  6. অন্যরা করছে  7. আমাদের ক্ষতি হয়নি</t>
  </si>
  <si>
    <t>1. Earn cash yourself: 3 / 8</t>
  </si>
  <si>
    <t>2. Earning work connected to sand/coal: 2 / 8</t>
  </si>
  <si>
    <t>3. Paid less than men for same work: 7 / 8</t>
  </si>
  <si>
    <t>4. Land comes through women: 0 / 8</t>
  </si>
  <si>
    <t>5. Woman's land used without agreement: 2 / 8</t>
  </si>
  <si>
    <t>6. Do not feel safe walking past ghats after dark: 6 / 8</t>
  </si>
  <si>
    <t>7. Water/wood collection takes longer than 5 yrs ago: 7 / 8</t>
  </si>
  <si>
    <t>Group Judgement: [X] A serious problem</t>
  </si>
  <si>
    <t>"সারাদিন ঘরের কাপড়ে ধুলা জমে থাকে, রাতে ট্রাকের শব্দে ছেলেমেয়েদের পড়াশোনা ও ঘুম হয় না, রাস্তাঘাট ভেঙে চুরমার হয়ে গেছে।"</t>
  </si>
  <si>
    <t>FGD C</t>
  </si>
  <si>
    <t>7–9 Men Not Employed in Sand (Farmers, Fishers, Shopkeepers)</t>
  </si>
  <si>
    <t>Date: 15 November 2024   |   Village: Kamarkhali   |   Union: Kullagora</t>
  </si>
  <si>
    <t>Participants: Total = 8 (Men = 8, Women = 0)</t>
  </si>
  <si>
    <t>Community: Bengali = 6, Garo = 2</t>
  </si>
  <si>
    <t>Occupations: Farmers = 4, Fishers = 2, Shopkeepers = 2</t>
  </si>
  <si>
    <t>1 | Market cash circulation &amp; shop sales (বাজারের আর্থিক লেনদেন) | Massive riverbank erosion destroying crop land (কৃষি জমি নদীভাঙনে বিলীন)</t>
  </si>
  <si>
    <t>2 | Small vendor opportunities (ক্ষুদ্র ব্যবসার সুযোগ) | Total collapse of river fishing &amp; fish species (মাছ শিকার ও মাছের আকাল)</t>
  </si>
  <si>
    <t>3 | Day labor work for poor villagers (দিনমজুরদের কাজ) | Destruction of village roads &amp; embankments (পাকা রাস্তা ও বাঁধ ধ্বংস)</t>
  </si>
  <si>
    <t>4 | Transport options to town (যাতায়াত ব্যবস্থা) | Choking air pollution &amp; respiratory problems (ধূলিদূষণ ও স্বাস্থ্যঝুঁকি)</t>
  </si>
  <si>
    <t>5 | Short-term economic activity (সাময়িক কাজের ব্যস্ততা) | Threats, false cases &amp; political coercion (রাজনৈতিক হুমকি ও মামলা)</t>
  </si>
  <si>
    <t>Exercise 2. Show of Hands Counts (N=8 Non-Related Men)</t>
  </si>
  <si>
    <t>1. Household earned from sand/transport: 0 / 8</t>
  </si>
  <si>
    <t>2. Lost land to riverbank erosion since 2019: 6 / 8</t>
  </si>
  <si>
    <t>3. Complained about sand mining: 5 / 8</t>
  </si>
  <si>
    <t>4. Faced pressure to stop: 5 / 8</t>
  </si>
  <si>
    <t>7. Cough/breathing trouble &gt;2 weeks: 6 / 8</t>
  </si>
  <si>
    <t>Node where complaint stops: [X] At the Upazila Office (UNO / AC Land)</t>
  </si>
  <si>
    <t>1. কোনো লাভ হবে না (Futile)  2. ঝামেলার ভয় (Fear of intimidation)  3. সময় ও টাকা লাগে  4. কোথায় যেতে হবে জানি না  5. আমাদের পরিবারও বালু থেকে আয় করে  6. অন্যরা করছে  7. আমাদের ক্ষতি হয়নি</t>
  </si>
  <si>
    <t>Exercise 4. Remedy Allocation (Stones Allocation, Total = 40 Stones)</t>
  </si>
  <si>
    <t>Exercise 4</t>
  </si>
  <si>
    <t>Remedy Card | Stones Allocated (N=8, 5 stones each)</t>
  </si>
  <si>
    <t>Stop mechanized dredgers entirely (যান্ত্রিক ড্রেজার পুরোপুরি বন্ধ) | 20 stones</t>
  </si>
  <si>
    <t>Allow manual extraction only (শুধু হাতে বালু তোলা) | 8 stones</t>
  </si>
  <si>
    <t>Enforce extraction limits strictly (সীমা মেনে কঠোর তদারকি) | 5 stones</t>
  </si>
  <si>
    <t>Compensation for land lost (জমির ক্ষতিপূরণ) | 4 stones</t>
  </si>
  <si>
    <t>Repair roads and embankments (রাস্তা ও বাঁধ মেরামত) | 3 stones</t>
  </si>
  <si>
    <t>Rotate extraction between zones | 0 stones</t>
  </si>
  <si>
    <t>Share royalty with village | 0 stones</t>
  </si>
  <si>
    <t>Open and transparent leasing | 0 stones</t>
  </si>
  <si>
    <t>FGD D</t>
  </si>
  <si>
    <t>7–9 Men Employed in or Linked to Sand (Crew, Drivers, Traders)</t>
  </si>
  <si>
    <t>Date: 15 November 2024   |   Village: Utrail   |   Union: Kullagora</t>
  </si>
  <si>
    <t>Community: Bengali = 7, Garo = 1</t>
  </si>
  <si>
    <t>Occupations: Dredger crew = 3, Truck drivers = 3, Sand traders = 2</t>
  </si>
  <si>
    <t>1 | High daily wages &amp; family livelihood (উচ্চ দৈনন্দিন মজুরি ও সংসার চালানো) | High physical injury risk at ghats (পিপা ও ড্রেজারে দুর্ঘটনার ঝুঁকি)</t>
  </si>
  <si>
    <t>2 | Livelihood for thousands of local youth (হাজার হাজার যুবকের কর্মসংস্থান) | Price volatility &amp; winter vs monsoon swings (বালুর দামের ওঠানামা)</t>
  </si>
  <si>
    <t>3 | Truck transport &amp; fuel business boom (ট্রাক পরিবহন ও জ্বালানি ব্যবসা) | Road damage causing truck breakdowns (রাস্তা ভেঙে ট্রাক আটকে যাওয়া)</t>
  </si>
  <si>
    <t>4 | Rapid growth of rural markets (পল্লী বাজারের দ্রুত বিকাশ) | Police &amp; administrative extortion/tolls (পুলিশ ও লাইনের চাঁদা)</t>
  </si>
  <si>
    <t>5 | Financial mobility &amp; debt repayment (ঋণ পরিশোধ ও সামাজিক মর্যাদা) | Dust inhalation &amp; heavy physical strain (ধূলিদূষণ ও কায়িক কষ্ট)</t>
  </si>
  <si>
    <t>Exercise 2. Show of Hands Counts (N=8 Mining-Linked Men)</t>
  </si>
  <si>
    <t>1. Household earned from sand/transport: 8 / 8</t>
  </si>
  <si>
    <t>2. Lost land to riverbank erosion since 2019: 2 / 8</t>
  </si>
  <si>
    <t>3. Complained about sand mining: 1 / 8</t>
  </si>
  <si>
    <t>4. Faced pressure to stop: 1 / 8</t>
  </si>
  <si>
    <t>6. Dust was serious problem: 6 / 8</t>
  </si>
  <si>
    <t>7. Cough/breathing trouble &gt;2 weeks: 4 / 8</t>
  </si>
  <si>
    <t>8. Noise disturbed sleep at night: 5 / 8</t>
  </si>
  <si>
    <t>9. Someone injured doing sand work: 4 / 8</t>
  </si>
  <si>
    <t>10. Extraction could not continue this way: 3 / 8</t>
  </si>
  <si>
    <t>Node where complaint stops: [X] Never left the village</t>
  </si>
  <si>
    <t>1. আমাদের পরিবারও বালু থেকে আয় করে (Family earns from sand - #1 Reason)</t>
  </si>
  <si>
    <t>2. কোনো লাভ হবে না  3. ঝামেলার ভয়  4. সময় ও টাকা লাগে  5. অন্যরা করছে  6. কোথায় যেতে হবে জানি না  7. আমাদের ক্ষতি হয়নি</t>
  </si>
  <si>
    <t>Allow manual extraction only (শুধু হাতে বালু তোলা) | 14 stones</t>
  </si>
  <si>
    <t>Enforce extraction limits strictly (সীমা মেনে কঠোর তদারকি) | 12 stones</t>
  </si>
  <si>
    <t>Repair roads and embankments (রাস্তা ও বাঁধ মেরামত) | 8 stones</t>
  </si>
  <si>
    <t>A share of royalty to the village (রয়্যালটির অংশ গ্রামে) | 4 stones</t>
  </si>
  <si>
    <t>Stop mechanized dredgers entirely (যান্ত্রিক ড্রেজার পুরোপুরি বন্ধ) | 2 stones</t>
  </si>
  <si>
    <t>Compensation for land lost | 0 stones</t>
  </si>
  <si>
    <t>Recent KII field forms — 4 completed KIIs</t>
  </si>
  <si>
    <t>Source: Someshwari_4KII_4FGD_Field_Forms_Filled(1).docx. Raw entries are preserved in source order; future targeted KII is not included.</t>
  </si>
  <si>
    <t>Lease Holder / Block Owner or Agent</t>
  </si>
  <si>
    <t>Date: 10 November 2024   |   Village: Birisiri   |   Union: Kullagora</t>
  </si>
  <si>
    <t>Years in role: 10   |   Sex: Male   |   Community: Bengali</t>
  </si>
  <si>
    <t>Verbal Consent Given: ☑ Yes   |   Audio Recorded: ☑ Yes</t>
  </si>
  <si>
    <t>Part 1. Access and Enforcement</t>
  </si>
  <si>
    <t>C1</t>
  </si>
  <si>
    <t>C1. Who decided who could take sand? ☑ 2 A local political leader (in coordination with MP/upazila leaders)</t>
  </si>
  <si>
    <t>C2</t>
  </si>
  <si>
    <t>C2. How strictly enforced? ☑ 3 Rarely (formal rules apply on paper, political line rules on ground)</t>
  </si>
  <si>
    <t>C3</t>
  </si>
  <si>
    <t>C3. Raids, fines, seizures? ☑ 3 A few times (mobile court comes when public pressure mounts)</t>
  </si>
  <si>
    <t>C4</t>
  </si>
  <si>
    <t>C4. Outcome of recent action? ☑ 2 Stopped a few days, then restarted (work resumes after fine is paid)</t>
  </si>
  <si>
    <t>C5</t>
  </si>
  <si>
    <t>C5. Worker origin? ☑ 4 Mixed, mostly local (local laborers + skilled dredger drivers from Sirajganj)</t>
  </si>
  <si>
    <t>C6</t>
  </si>
  <si>
    <t>C6. Machine/Block owners origin? ☑ 3 Elsewhere in the district / Dhaka (wealthy political investors)</t>
  </si>
  <si>
    <t>C7</t>
  </si>
  <si>
    <t>C7. Money returning to village? ☑ 2 Occasional small amounts (donations to local club, mosque, or puja)</t>
  </si>
  <si>
    <t>C8</t>
  </si>
  <si>
    <t>C8. Why not stopped? ☑ 1 Officials connected to operators  |  ☑ 2 Payments were made</t>
  </si>
  <si>
    <t>C9</t>
  </si>
  <si>
    <t>C9. Dust problem? ☑ 2 A little (we spray water on main road sometimes, but trucks create dust)</t>
  </si>
  <si>
    <t>C10</t>
  </si>
  <si>
    <t>C10. Breathing complaints? ☑ 2 Rose somewhat</t>
  </si>
  <si>
    <t>Part 2. Prices, Revenue, and Scale</t>
  </si>
  <si>
    <t>Grade names</t>
  </si>
  <si>
    <t>Agreed Grade Names: Coarse (Mota Balu) | Medium (Majhari Balu) | Fine (Shada Balu) | Mixed Gravel (Pather-Mishrita)</t>
  </si>
  <si>
    <t>L1</t>
  </si>
  <si>
    <t>L1. Price by Grade and Season (BDT / 100 cft at stockpile):</t>
  </si>
  <si>
    <t>Grade (Agreed Name) | Monsoon (BDT/100 cft) | Winter (BDT/100 cft) | Royalty Paid (BDT/100 cft)</t>
  </si>
  <si>
    <t>Coarse (Mota Balu) | 1,750 | 2,350 | 250</t>
  </si>
  <si>
    <t>Medium (Majhari Balu) | 1,350 | 1,850 | 200</t>
  </si>
  <si>
    <t>Fine (Shada Balu) | 1,100 | 1,500 | 150</t>
  </si>
  <si>
    <t>Mixed Gravel (Pather) | 3,100 | 4,100 | 350</t>
  </si>
  <si>
    <t>L2</t>
  </si>
  <si>
    <t>L2. Revenue Split (Constant sum out of 100 Taka per truck):</t>
  </si>
  <si>
    <t>Recipient Category | Taka out of 100</t>
  </si>
  <si>
    <t>Lease holder / Block owner syndicate | 34</t>
  </si>
  <si>
    <t>Machine / Dredger owner | 20</t>
  </si>
  <si>
    <t>Labourers at the ghat | 11</t>
  </si>
  <si>
    <t>Boat or truck owner &amp; driver | 15</t>
  </si>
  <si>
    <t>Fuel &amp; maintenance | 10</t>
  </si>
  <si>
    <t>Government royalty, officially paid | 4</t>
  </si>
  <si>
    <t>Unofficial payments (line fee/political) | 6</t>
  </si>
  <si>
    <t>Total | 100</t>
  </si>
  <si>
    <t>L3</t>
  </si>
  <si>
    <t>L3. Scale and Concentration:</t>
  </si>
  <si>
    <t>a</t>
  </si>
  <si>
    <t>a. Dredging machines on reach: 900</t>
  </si>
  <si>
    <t>b</t>
  </si>
  <si>
    <t>b. Separate owners: 14</t>
  </si>
  <si>
    <t>c</t>
  </si>
  <si>
    <t>c. Share held by largest owner: [X] More than half (dominant leader held 4 of 5 blocks)</t>
  </si>
  <si>
    <t>d</t>
  </si>
  <si>
    <t>d. Daily lift per machine: 4,500 cft</t>
  </si>
  <si>
    <t>e</t>
  </si>
  <si>
    <t>e. Daily running cost per machine: BDT 18,000</t>
  </si>
  <si>
    <t>f</t>
  </si>
  <si>
    <t>f. Working days per year: [X] 100 to 200 days</t>
  </si>
  <si>
    <t>OPEN 1</t>
  </si>
  <si>
    <t>OPEN 1: How a person comes to hold a block here (Verbatim Bangla):</t>
  </si>
  <si>
    <t>"ইজারা পাওয়ার আসল খেলা শুরু হয় টেন্ডার ডাকার আগে থেকে। ঢাকা ও জেলা পর্যায়ের বড় নেতারা স্থানীয় এমপি বা রাজনৈতিক প্রভাবশালীদের সাথে চুক্তি করে। সাধারণ কেউ ইজারার শিডিউল তুলতে গেলেও ভয়ভীতি দেখানো হয়, তাই অন্য কেউ জমা দেয় না। সরকারিভাবে ইজারা পাওয়ার পর আসল ইজারাদার নিজে নদীতে নামে না; সে আমাদের মতো স্থানীয় পরিচিত লোক বা লাইন এজেন্টদের কাছে মোটা লাভে ইজারা বিক্রি করে দেয়। আমরা ঘাটে পাত্তি (লাইন ফি) হিসাব করে ট্রকাওয়ালা ও ড্রেজারওয়ালাদের কাছে সাব-ব্লক বুঝিয়ে দিই।"</t>
  </si>
  <si>
    <t>Labour Sardar / Crew Leader</t>
  </si>
  <si>
    <t>Date: 11 November 2024   |   Village: Shibganj   |   Union: Gaurnathpur</t>
  </si>
  <si>
    <t>Years in role: 6   |   Sex: Male   |   Community: Bengali</t>
  </si>
  <si>
    <t>C1. Who decided who could take sand? ☑ 2 A local political leader</t>
  </si>
  <si>
    <t>C2. How strictly enforced? ☑ 3 Rarely</t>
  </si>
  <si>
    <t>C3. Raids/fines? ☑ 3 A few times</t>
  </si>
  <si>
    <t>C4. Outcome? ☑ 2 Stopped a few days, then restarted</t>
  </si>
  <si>
    <t>C5. Worker origin? ☑ 4 Mixed, mostly local</t>
  </si>
  <si>
    <t>C6. Block owners origin? ☑ 3 Elsewhere in the district</t>
  </si>
  <si>
    <t>C7. Money to village? ☑ 2 Occasional small amounts</t>
  </si>
  <si>
    <t>C8. Why not stopped? ☑ 2 Payments were made</t>
  </si>
  <si>
    <t>C9. Dust problem? ☑ 3 A lot</t>
  </si>
  <si>
    <t>C10. Breathing complaints? ☑ 1 Rose a lot</t>
  </si>
  <si>
    <t>Part 2. Wages, Advances, and Injuries</t>
  </si>
  <si>
    <t>S1. Typical daily wage: [X] 2 400 to 700 (Average BDT 650/day)</t>
  </si>
  <si>
    <t>S2. Crew payment mode: [X] 2 Per truck or per load</t>
  </si>
  <si>
    <t>S3. Workers taking advances: [X] 3 Most of them (Take dadan advance for family expenses)</t>
  </si>
  <si>
    <t>S4. Debt departure: [X] 3 Works it off over time (Cannot leave ghat until advance cleared)</t>
  </si>
  <si>
    <t>S5. Monthly crew injuries: [X] 3 3 to 10 injuries/month</t>
  </si>
  <si>
    <t>S6</t>
  </si>
  <si>
    <t>S6. Most common injury kinds: [X] Cuts from steel pipes, [X] Crushed by machine/pipe, [X] Back &amp; joint injury from heavy lifting</t>
  </si>
  <si>
    <t>S7. If dredging stopped tomorrow, what would crew do? [X] 3 Migrate for work (Move to Dhaka, Gazipur, or Chittagong for construction or rickshaw pulling)</t>
  </si>
  <si>
    <t>Union Parishad Member or Community Representative</t>
  </si>
  <si>
    <t>Date: 12 November 2024   |   Village: Utrail   |   Union: Kullagora</t>
  </si>
  <si>
    <t>Years in role: 7   |   Sex: Male   |   Community: Bengali</t>
  </si>
  <si>
    <t>Verbal Consent Given: [X] Yes   |   Audio Recorded: [X] Yes</t>
  </si>
  <si>
    <t>C1. Who decided who could take sand? [X] 2 A local political leader</t>
  </si>
  <si>
    <t>C2. Rules enforced? [X] 4 Never</t>
  </si>
  <si>
    <t>C3. Raids/fines? [X] 3 A few times</t>
  </si>
  <si>
    <t>C4. Outcome? [X] 2 Stopped a few days, then restarted</t>
  </si>
  <si>
    <t>C5. Worker origin? [X] 4 Mixed, mostly local</t>
  </si>
  <si>
    <t>C6. Owner origin? [X] 4 Dhaka or outside district</t>
  </si>
  <si>
    <t>C7. Money to village? [X] 1 Nothing at all</t>
  </si>
  <si>
    <t>C8. Why not stopped? [X] 1 Officials connected &amp; [X] 3 Orders from above not to interfere</t>
  </si>
  <si>
    <t>C9. Dust problem? [X] 4 It was the worst problem people had</t>
  </si>
  <si>
    <t>C10. Breathing complaints? [X] 1 Rose a lot</t>
  </si>
  <si>
    <t>Part 2. Complaints and Enforcement Chain</t>
  </si>
  <si>
    <t>U1</t>
  </si>
  <si>
    <t>U1. Complaints received in a year: 35 complaints</t>
  </si>
  <si>
    <t>U2</t>
  </si>
  <si>
    <t>U2. Action taken: [X] 1 Forwarded to UNO/AC Land, [X] 4 Advised complainant to let it go, [X] 5 Nothing could be done</t>
  </si>
  <si>
    <t>U3</t>
  </si>
  <si>
    <t>U3. Complaints ending in extraction stopping: 0 (None)</t>
  </si>
  <si>
    <t>U4</t>
  </si>
  <si>
    <t>U4. Complainants faced pressure? [X] 3 Usually</t>
  </si>
  <si>
    <t>U5</t>
  </si>
  <si>
    <t>U5. Pressure forms: [X] 1 Warning to stop, [X] 3 Threat against family/property, [X] 5 False case or police involvement</t>
  </si>
  <si>
    <t>U6</t>
  </si>
  <si>
    <t>U6. Where complaints usually stop: [X] 3 At the upazila office</t>
  </si>
  <si>
    <t>U7</t>
  </si>
  <si>
    <t>U7. Collective action taken? [X] 4 Both (Written petitions to DC/UNO and human chains along embankment)</t>
  </si>
  <si>
    <t>OPEN 2</t>
  </si>
  <si>
    <t>OPEN 2: Detailed Complaint Case Study (Verbatim Bangla):</t>
  </si>
  <si>
    <t>"উত্তরপাড়া গ্রামের প্রায় ৪০ বিঘা কৃষি জমি ও পাকা রাস্তা নদীতে তলিয়ে যাওয়ার পর মেম্বার হিসেবে আমি নিজে গ্রামবাসীকে নিয়ে ইউএনও সাহেবের কাছে লিখিত আবেদন করি। পরিদর্শনের দিন বালু ইজারাদারের লোকজন এসে আমাদের সামনেই বলে যে ড্রেজিং বন্ধ হলে সরকারের কোটি টাকার রাজস্ব ক্ষতি হবে। পরদিন রাতে অভিযোগকারী মূল দুই যুবকের বাড়িতে পুলিশ ও ক্যাডার পাঠিয়ে বলা হয় মামলায় ফাঁসিয়ে দেওয়া হবে। শেষ পর্যন্ত বাধ্য হয়ে গ্রামবাসী আবেদন ফিরিয়ে নেয় এবং কোনো সুরাহা হয়নি।"</t>
  </si>
  <si>
    <t>Garo (Mandi) Woman Landholder or Representative</t>
  </si>
  <si>
    <t>Date: 13 November 2024   |   Village: Kamarkhali   |   Union: Kullagora</t>
  </si>
  <si>
    <t>Years in role: 12   |   Sex: Female   |   Community: Garo</t>
  </si>
  <si>
    <t>C5. Worker origin? [X] 5 Mixed, mostly outsiders</t>
  </si>
  <si>
    <t>C8. Why not stopped? [X] 1 Officials connected to operators</t>
  </si>
  <si>
    <t>C9. Dust problem? [X] 3 A lot</t>
  </si>
  <si>
    <t>Part 2. Land, Tenure, and Women's Work</t>
  </si>
  <si>
    <t>G1</t>
  </si>
  <si>
    <t>G1. Land passage in Garo families: [X] 1 Through the women (Matrilineal inheritance)</t>
  </si>
  <si>
    <t>G2</t>
  </si>
  <si>
    <t>G2. Decision maker on land: [X] 4 The family together (male relatives negotiate externally with traders)</t>
  </si>
  <si>
    <t>G3</t>
  </si>
  <si>
    <t>G3. Unagreed land use for sand work: [X] 3 Often (dredger owners dump sand or lay pipes on women's land without consent)</t>
  </si>
  <si>
    <t>G4</t>
  </si>
  <si>
    <t>G4. Land lost to river erosion: [X] 1 Land held in a woman’s line</t>
  </si>
  <si>
    <t>G5</t>
  </si>
  <si>
    <t>G5. Paid work done by women: [X] cleaning/sorting coal, [X] sorting/breaking stone, [X] shop or rice hotel</t>
  </si>
  <si>
    <t>G6</t>
  </si>
  <si>
    <t>G6. Pay comparison: [X] 3 Less (women paid BDT 350-400 vs men BDT 650-700)</t>
  </si>
  <si>
    <t>G7</t>
  </si>
  <si>
    <t>G7. Work available to women over 5 years: [X] 3 Decreased (loss of agricultural land reduced farming work)</t>
  </si>
  <si>
    <t>G8</t>
  </si>
  <si>
    <t>G8. Unwanted behavior near ghats: [X] 4 It happens but people do not speak about it</t>
  </si>
  <si>
    <t>OPEN 3</t>
  </si>
  <si>
    <t>OPEN 3: What changed for women after dredging expanded (Verbatim Bangla):</t>
  </si>
  <si>
    <t>"গারো সমাজে মায়ের সূত্রেই আমাদের জমিজমা আসে। কিন্তু নদীভাঙনে আমাদের সেই পৈতৃক ভিটেমাটি আর ধানখেত নদীতে তলিয়ে গেছে। আগে আমরা নিজেদের জমিতে শাকসবজি ও ধান উৎপাদন করতাম। এখন জমি হারিয়ে আমাদের কয়লা ধোয়া আর পাথর ভাঙার মতো কায়িক শ্রম করতে হচ্ছে। ঘাটগুলোতে অচেনা হাজার হাজার পুরুষ শ্রমিকের ভিড় থাকে, তাই আমাদের মেয়েদের সন্ধ্যার পর যাতায়াত করতে ভয় লাগে। কাজের মজুরিও পুরুষদের থেকে অনেক কম দেওয়া হয়।"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</si>
</sst>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scheme val="minor"/>
    </font>
    <font>
      <sz val="11"/>
      <color theme="1"/>
      <name val="Calibri"/>
      <scheme val="minor"/>
    </font>
    <font>
      <b/>
      <sz val="11"/>
      <name val="Cambria"/>
      <charset val="1"/>
    </font>
    <font>
      <b/>
      <sz val="11"/>
      <color rgb="FFFFFFFF"/>
      <name val="Cambria"/>
      <charset val="1"/>
    </font>
    <font>
      <sz val="11"/>
      <color theme="1"/>
      <name val="Calibri"/>
      <family val="2"/>
      <charset val="1"/>
    </font>
    <font>
      <sz val="11"/>
      <color theme="1"/>
      <name val="FreeSans"/>
      <family val="2"/>
      <charset val="1"/>
    </font>
    <font>
      <sz val="10"/>
      <name val="Times New Roman"/>
      <charset val="1"/>
    </font>
    <font>
      <b/>
      <sz val="10"/>
      <color rgb="FFFFFFFF"/>
      <name val="Times New Roman"/>
      <charset val="1"/>
    </font>
    <font>
      <sz val="10"/>
      <color rgb="FF000000"/>
      <name val="Times New Roman"/>
      <charset val="1"/>
    </font>
    <font>
      <b/>
      <sz val="12"/>
      <color rgb="FFFFFFFF"/>
      <name val="Calibri"/>
    </font>
    <font>
      <i/>
      <sz val="9"/>
      <color rgb="FF666666"/>
      <name val="Calibri"/>
    </font>
    <font>
      <b/>
      <sz val="10"/>
      <color rgb="FFFFFFFF"/>
      <name val="Calibri"/>
    </font>
    <font>
      <sz val="10"/>
      <name val="Calibri"/>
    </font>
  </fonts>
  <fills count="10">
    <fill>
      <patternFill patternType="none"/>
    </fill>
    <fill>
      <patternFill patternType="gray125"/>
    </fill>
    <fill>
      <patternFill patternType="solid">
        <fgColor rgb="FFD9EAF7"/>
        <bgColor rgb="FFDEEAF1"/>
      </patternFill>
    </fill>
    <fill>
      <patternFill patternType="solid">
        <fgColor rgb="FF1F4E78"/>
        <bgColor rgb="FF004488"/>
      </patternFill>
    </fill>
    <fill>
      <patternFill patternType="solid">
        <fgColor rgb="FFF2F2F2"/>
        <bgColor rgb="FFEDF2F7"/>
      </patternFill>
    </fill>
    <fill>
      <patternFill patternType="solid">
        <fgColor rgb="FFF7DDE0"/>
        <bgColor rgb="FFFCE4D6"/>
      </patternFill>
    </fill>
    <fill>
      <patternFill patternType="solid">
        <fgColor rgb="FF004488"/>
        <bgColor rgb="FF333399"/>
      </patternFill>
    </fill>
    <fill>
      <patternFill patternType="solid">
        <fgColor rgb="FFEDF2F7"/>
        <bgColor rgb="FFFFFFFF"/>
      </patternFill>
    </fill>
    <fill>
      <patternFill patternType="solid">
        <fgColor rgb="FF17365D"/>
      </patternFill>
    </fill>
    <fill>
      <patternFill patternType="solid">
        <fgColor rgb="FFF3F6F9"/>
      </patternFill>
    </fill>
  </fills>
  <borders count="5">
    <border>
      <left/>
      <right/>
      <top/>
      <bottom/>
      <diagonal/>
    </border>
    <border>
      <left/>
      <right/>
      <top/>
      <bottom/>
      <diagonal/>
    </border>
    <border>
      <left/>
      <right/>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D9D9D9"/>
      </top>
      <bottom/>
      <diagonal/>
    </border>
  </borders>
  <cellStyleXfs count="1">
    <xf numFmtId="0" fontId="0" fillId="0" borderId="0"/>
  </cellStyleXfs>
  <cellXfs count="23">
    <xf numFmtId="0" fontId="0" fillId="0" borderId="0" xfId="0" applyAlignment="1"/>
    <xf numFmtId="0" fontId="1" fillId="0" borderId="0" xfId="0" applyFont="1"/>
    <xf numFmtId="0" fontId="0" fillId="0" borderId="0" xfId="0"/>
    <xf numFmtId="0" fontId="2" fillId="2" borderId="1" xfId="0" applyFont="1" applyFill="1" applyBorder="1" applyAlignment="1">
      <alignment vertical="top" wrapText="1"/>
    </xf>
    <xf numFmtId="0" fontId="3" fillId="3"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3" fillId="3" borderId="2" xfId="0" applyFont="1" applyFill="1" applyBorder="1" applyAlignment="1">
      <alignment vertical="center" wrapText="1"/>
    </xf>
    <xf numFmtId="0" fontId="6" fillId="0" borderId="3" xfId="0" applyFont="1" applyBorder="1" applyAlignment="1">
      <alignment horizontal="center"/>
    </xf>
    <xf numFmtId="164" fontId="6" fillId="0" borderId="3" xfId="0" applyNumberFormat="1" applyFont="1" applyBorder="1" applyAlignment="1">
      <alignment vertical="top" wrapText="1"/>
    </xf>
    <xf numFmtId="0" fontId="4" fillId="5" borderId="1" xfId="0" applyFont="1" applyFill="1" applyBorder="1" applyAlignment="1">
      <alignment vertical="top" wrapText="1"/>
    </xf>
    <xf numFmtId="0" fontId="7" fillId="6" borderId="3" xfId="0" applyFont="1" applyFill="1" applyBorder="1" applyAlignment="1">
      <alignment horizontal="center" vertical="center" wrapText="1"/>
    </xf>
    <xf numFmtId="0" fontId="8" fillId="0" borderId="3" xfId="0" applyFont="1" applyBorder="1" applyAlignment="1"/>
    <xf numFmtId="0" fontId="8" fillId="7" borderId="3" xfId="0" applyFont="1" applyFill="1" applyBorder="1" applyAlignment="1"/>
    <xf numFmtId="0" fontId="11" fillId="8" borderId="0" xfId="0" applyFont="1" applyFill="1" applyAlignment="1">
      <alignment vertical="center" wrapText="1"/>
    </xf>
    <xf numFmtId="0" fontId="12" fillId="9" borderId="4" xfId="0" applyFont="1" applyFill="1" applyBorder="1" applyAlignment="1">
      <alignment horizontal="left" vertical="top" wrapText="1"/>
    </xf>
    <xf numFmtId="0" fontId="12" fillId="9" borderId="4" xfId="0" applyFont="1" applyFill="1" applyBorder="1" applyAlignment="1">
      <alignment vertical="top" wrapText="1"/>
    </xf>
    <xf numFmtId="0" fontId="12" fillId="0" borderId="0" xfId="0" applyFont="1" applyAlignment="1">
      <alignment horizontal="left" vertical="top" wrapText="1"/>
    </xf>
    <xf numFmtId="0" fontId="12" fillId="0" borderId="0" xfId="0" applyFont="1" applyAlignment="1">
      <alignment vertical="top" wrapText="1"/>
    </xf>
    <xf numFmtId="0" fontId="0" fillId="0" borderId="0" xfId="0"/>
    <xf numFmtId="0" fontId="10" fillId="0" borderId="0" xfId="0" applyFont="1" applyAlignment="1">
      <alignment wrapText="1"/>
    </xf>
    <xf numFmtId="0" fontId="9"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Z1000"/>
  <sheetViews>
    <sheetView workbookViewId="0"/>
  </sheetViews>
  <sheetFormatPr defaultColWidth="14.44140625" defaultRowHeight="15" customHeight="1"/>
  <cols>
    <col min="1" max="2" width="60" style="2" customWidth="1"/>
    <col min="3" max="3" width="34" style="2" customWidth="1"/>
    <col min="4" max="4" width="60" style="2" customWidth="1"/>
    <col min="5" max="5" width="47" style="2" customWidth="1"/>
    <col min="6" max="6" width="38" style="2" customWidth="1"/>
    <col min="7" max="7" width="43" style="2" customWidth="1"/>
    <col min="8" max="26" width="8.6640625" style="2" customWidth="1"/>
  </cols>
  <sheetData>
    <row r="1" spans="1:4" ht="14.4">
      <c r="A1" s="1" t="s">
        <v>0</v>
      </c>
    </row>
    <row r="2" spans="1:4" ht="14.4">
      <c r="A2" s="1" t="s">
        <v>1</v>
      </c>
      <c r="B2" s="1" t="s">
        <v>2</v>
      </c>
      <c r="C2" s="1" t="s">
        <v>3</v>
      </c>
      <c r="D2" s="1" t="s">
        <v>4</v>
      </c>
    </row>
    <row r="3" spans="1:4" ht="14.4">
      <c r="A3" s="1" t="s">
        <v>5</v>
      </c>
      <c r="B3" s="1" t="s">
        <v>6</v>
      </c>
      <c r="C3" s="1" t="s">
        <v>7</v>
      </c>
      <c r="D3" s="1">
        <v>51</v>
      </c>
    </row>
    <row r="4" spans="1:4" ht="14.4">
      <c r="A4" s="1" t="s">
        <v>8</v>
      </c>
      <c r="B4" s="1" t="s">
        <v>9</v>
      </c>
      <c r="C4" s="1" t="s">
        <v>10</v>
      </c>
      <c r="D4" s="1">
        <v>347</v>
      </c>
    </row>
    <row r="5" spans="1:4" ht="14.4">
      <c r="A5" s="1" t="s">
        <v>11</v>
      </c>
      <c r="B5" s="1" t="s">
        <v>12</v>
      </c>
      <c r="C5" s="1" t="s">
        <v>13</v>
      </c>
      <c r="D5" s="1">
        <v>51</v>
      </c>
    </row>
    <row r="6" spans="1:4" ht="14.4">
      <c r="A6" s="1" t="s">
        <v>14</v>
      </c>
      <c r="B6" s="1" t="s">
        <v>15</v>
      </c>
      <c r="C6" s="1" t="s">
        <v>16</v>
      </c>
      <c r="D6" s="1">
        <v>337</v>
      </c>
    </row>
    <row r="7" spans="1:4" ht="14.4">
      <c r="A7" s="1" t="s">
        <v>17</v>
      </c>
      <c r="B7" s="1" t="s">
        <v>18</v>
      </c>
      <c r="C7" s="1" t="s">
        <v>19</v>
      </c>
      <c r="D7" s="1">
        <v>15</v>
      </c>
    </row>
    <row r="8" spans="1:4" ht="14.4">
      <c r="A8" s="1" t="s">
        <v>20</v>
      </c>
      <c r="B8" s="1" t="s">
        <v>21</v>
      </c>
      <c r="C8" s="1" t="s">
        <v>19</v>
      </c>
      <c r="D8" s="1">
        <v>5</v>
      </c>
    </row>
    <row r="9" spans="1:4" ht="14.4">
      <c r="A9" s="1" t="s">
        <v>22</v>
      </c>
      <c r="B9" s="1" t="s">
        <v>23</v>
      </c>
      <c r="C9" s="1" t="s">
        <v>24</v>
      </c>
      <c r="D9" s="1">
        <v>4</v>
      </c>
    </row>
    <row r="10" spans="1:4" ht="14.4">
      <c r="A10" s="1" t="s">
        <v>25</v>
      </c>
      <c r="B10" s="1" t="s">
        <v>26</v>
      </c>
      <c r="C10" s="1" t="s">
        <v>24</v>
      </c>
      <c r="D10" s="1">
        <v>4</v>
      </c>
    </row>
    <row r="11" spans="1:4" ht="14.4"/>
    <row r="12" spans="1:4" ht="14.4">
      <c r="A12" s="1" t="s">
        <v>27</v>
      </c>
    </row>
    <row r="13" spans="1:4" ht="14.4">
      <c r="A13" s="1" t="s">
        <v>1</v>
      </c>
      <c r="B13" s="1" t="s">
        <v>28</v>
      </c>
    </row>
    <row r="14" spans="1:4" ht="14.4">
      <c r="A14" s="1" t="s">
        <v>8</v>
      </c>
      <c r="B14" s="1" t="s">
        <v>29</v>
      </c>
    </row>
    <row r="15" spans="1:4" ht="14.4">
      <c r="A15" s="1" t="s">
        <v>11</v>
      </c>
      <c r="B15" s="1" t="s">
        <v>30</v>
      </c>
    </row>
    <row r="16" spans="1:4" ht="14.4">
      <c r="A16" s="1" t="s">
        <v>14</v>
      </c>
      <c r="B16" s="1" t="s">
        <v>31</v>
      </c>
    </row>
    <row r="17" spans="1:7" ht="14.4">
      <c r="A17" s="1" t="s">
        <v>17</v>
      </c>
      <c r="B17" s="1" t="s">
        <v>32</v>
      </c>
    </row>
    <row r="18" spans="1:7" ht="14.4">
      <c r="A18" s="1" t="s">
        <v>20</v>
      </c>
      <c r="B18" s="1" t="s">
        <v>33</v>
      </c>
    </row>
    <row r="19" spans="1:7" ht="14.4"/>
    <row r="20" spans="1:7" ht="14.4">
      <c r="A20" t="s">
        <v>22</v>
      </c>
      <c r="B20" t="s">
        <v>34</v>
      </c>
    </row>
    <row r="21" spans="1:7" ht="15.75" customHeight="1">
      <c r="A21" t="s">
        <v>25</v>
      </c>
      <c r="B21" t="s">
        <v>35</v>
      </c>
    </row>
    <row r="22" spans="1:7" ht="15.75" customHeight="1">
      <c r="A22" s="1" t="s">
        <v>36</v>
      </c>
    </row>
    <row r="23" spans="1:7" ht="15.75" customHeight="1">
      <c r="A23" s="1" t="s">
        <v>37</v>
      </c>
    </row>
    <row r="24" spans="1:7" ht="15.75" customHeight="1">
      <c r="A24" s="1" t="s">
        <v>38</v>
      </c>
      <c r="B24" s="1" t="s">
        <v>39</v>
      </c>
      <c r="C24" s="1" t="s">
        <v>40</v>
      </c>
      <c r="D24" s="1" t="s">
        <v>41</v>
      </c>
      <c r="E24" s="1" t="s">
        <v>42</v>
      </c>
      <c r="F24" s="1" t="s">
        <v>43</v>
      </c>
      <c r="G24" s="1" t="s">
        <v>44</v>
      </c>
    </row>
    <row r="25" spans="1:7" ht="15.75" customHeight="1">
      <c r="A25" s="1" t="s">
        <v>45</v>
      </c>
      <c r="B25" s="1" t="s">
        <v>46</v>
      </c>
      <c r="C25" s="1" t="s">
        <v>47</v>
      </c>
      <c r="D25" s="1" t="s">
        <v>48</v>
      </c>
      <c r="E25" s="1" t="s">
        <v>49</v>
      </c>
      <c r="F25" s="1" t="s">
        <v>50</v>
      </c>
      <c r="G25" s="1" t="s">
        <v>51</v>
      </c>
    </row>
    <row r="26" spans="1:7" ht="15.75" customHeight="1">
      <c r="A26" s="1" t="s">
        <v>52</v>
      </c>
      <c r="B26" s="1" t="s">
        <v>46</v>
      </c>
      <c r="C26" s="1" t="s">
        <v>47</v>
      </c>
      <c r="D26" s="1" t="s">
        <v>53</v>
      </c>
      <c r="E26" s="1" t="s">
        <v>54</v>
      </c>
      <c r="F26" s="1" t="s">
        <v>55</v>
      </c>
      <c r="G26" s="1" t="s">
        <v>53</v>
      </c>
    </row>
    <row r="27" spans="1:7" ht="15.75" customHeight="1">
      <c r="A27" s="1" t="s">
        <v>56</v>
      </c>
      <c r="B27" s="1" t="s">
        <v>46</v>
      </c>
      <c r="C27" s="1" t="s">
        <v>47</v>
      </c>
      <c r="D27" s="1" t="s">
        <v>57</v>
      </c>
      <c r="E27" s="1" t="s">
        <v>58</v>
      </c>
      <c r="F27" s="1" t="s">
        <v>59</v>
      </c>
      <c r="G27" s="1" t="s">
        <v>57</v>
      </c>
    </row>
    <row r="28" spans="1:7" ht="15.75" customHeight="1">
      <c r="A28" s="1" t="s">
        <v>60</v>
      </c>
      <c r="B28" s="1" t="s">
        <v>46</v>
      </c>
      <c r="C28" s="1" t="s">
        <v>61</v>
      </c>
      <c r="D28" s="1" t="s">
        <v>62</v>
      </c>
      <c r="E28" s="1" t="s">
        <v>63</v>
      </c>
      <c r="F28" s="1" t="s">
        <v>64</v>
      </c>
      <c r="G28" s="1" t="s">
        <v>65</v>
      </c>
    </row>
    <row r="29" spans="1:7" ht="15.75" customHeight="1">
      <c r="A29" s="1" t="s">
        <v>66</v>
      </c>
      <c r="B29" s="1" t="s">
        <v>46</v>
      </c>
      <c r="C29" s="1" t="s">
        <v>61</v>
      </c>
      <c r="D29" s="1" t="s">
        <v>67</v>
      </c>
      <c r="E29" s="1" t="s">
        <v>68</v>
      </c>
      <c r="F29" s="1" t="s">
        <v>69</v>
      </c>
      <c r="G29" s="1" t="s">
        <v>70</v>
      </c>
    </row>
    <row r="30" spans="1:7" ht="15.75" customHeight="1">
      <c r="A30" s="1" t="s">
        <v>71</v>
      </c>
      <c r="B30" s="1" t="s">
        <v>46</v>
      </c>
      <c r="C30" s="1" t="s">
        <v>61</v>
      </c>
      <c r="D30" s="1" t="s">
        <v>72</v>
      </c>
      <c r="E30" s="1" t="s">
        <v>63</v>
      </c>
      <c r="F30" s="1" t="s">
        <v>64</v>
      </c>
      <c r="G30" s="1" t="s">
        <v>73</v>
      </c>
    </row>
    <row r="31" spans="1:7" ht="15.75" customHeight="1">
      <c r="A31" s="1" t="s">
        <v>74</v>
      </c>
      <c r="B31" s="1" t="s">
        <v>46</v>
      </c>
      <c r="C31" s="1" t="s">
        <v>61</v>
      </c>
      <c r="D31" s="1" t="s">
        <v>75</v>
      </c>
      <c r="E31" s="1" t="s">
        <v>76</v>
      </c>
      <c r="F31" s="1" t="s">
        <v>77</v>
      </c>
      <c r="G31" s="1" t="s">
        <v>78</v>
      </c>
    </row>
    <row r="32" spans="1:7" ht="15.75" customHeight="1">
      <c r="A32" s="1" t="s">
        <v>79</v>
      </c>
      <c r="B32" s="1" t="s">
        <v>46</v>
      </c>
      <c r="C32" s="1" t="s">
        <v>80</v>
      </c>
      <c r="D32" s="1" t="s">
        <v>81</v>
      </c>
      <c r="E32" s="1" t="s">
        <v>82</v>
      </c>
      <c r="F32" s="1" t="s">
        <v>83</v>
      </c>
      <c r="G32" s="1" t="s">
        <v>84</v>
      </c>
    </row>
    <row r="33" spans="1:7" ht="15.75" customHeight="1">
      <c r="A33" s="1" t="s">
        <v>85</v>
      </c>
      <c r="B33" s="1" t="s">
        <v>46</v>
      </c>
      <c r="C33" s="1" t="s">
        <v>80</v>
      </c>
      <c r="D33" s="1" t="s">
        <v>86</v>
      </c>
      <c r="E33" s="1" t="s">
        <v>76</v>
      </c>
      <c r="F33" s="1" t="s">
        <v>77</v>
      </c>
      <c r="G33" s="1" t="s">
        <v>87</v>
      </c>
    </row>
    <row r="34" spans="1:7" ht="15.75" customHeight="1">
      <c r="A34" s="1" t="s">
        <v>88</v>
      </c>
      <c r="B34" s="1" t="s">
        <v>46</v>
      </c>
      <c r="C34" s="1" t="s">
        <v>89</v>
      </c>
      <c r="D34" s="1" t="s">
        <v>90</v>
      </c>
      <c r="E34" s="1" t="s">
        <v>63</v>
      </c>
      <c r="F34" s="1" t="s">
        <v>64</v>
      </c>
      <c r="G34" s="1" t="s">
        <v>91</v>
      </c>
    </row>
    <row r="35" spans="1:7" ht="15.75" customHeight="1">
      <c r="A35" s="1" t="s">
        <v>92</v>
      </c>
      <c r="B35" s="1" t="s">
        <v>46</v>
      </c>
      <c r="C35" s="1" t="s">
        <v>89</v>
      </c>
      <c r="D35" s="1" t="s">
        <v>93</v>
      </c>
      <c r="E35" s="1" t="s">
        <v>76</v>
      </c>
      <c r="F35" s="1" t="s">
        <v>77</v>
      </c>
      <c r="G35" s="1" t="s">
        <v>94</v>
      </c>
    </row>
    <row r="36" spans="1:7" ht="15.75" customHeight="1">
      <c r="A36" s="1" t="s">
        <v>95</v>
      </c>
      <c r="B36" s="1" t="s">
        <v>46</v>
      </c>
      <c r="C36" s="1" t="s">
        <v>96</v>
      </c>
      <c r="D36" s="1" t="s">
        <v>97</v>
      </c>
      <c r="E36" s="1" t="s">
        <v>98</v>
      </c>
      <c r="F36" s="1" t="s">
        <v>99</v>
      </c>
      <c r="G36" s="1" t="s">
        <v>100</v>
      </c>
    </row>
    <row r="37" spans="1:7" ht="15.75" customHeight="1">
      <c r="A37" s="1" t="s">
        <v>101</v>
      </c>
      <c r="B37" s="1" t="s">
        <v>46</v>
      </c>
      <c r="C37" s="1" t="s">
        <v>96</v>
      </c>
      <c r="D37" s="1" t="s">
        <v>102</v>
      </c>
      <c r="E37" s="1" t="s">
        <v>76</v>
      </c>
      <c r="F37" s="1" t="s">
        <v>77</v>
      </c>
      <c r="G37" s="1" t="s">
        <v>103</v>
      </c>
    </row>
    <row r="38" spans="1:7" ht="15.75" customHeight="1">
      <c r="A38" s="1" t="s">
        <v>104</v>
      </c>
      <c r="B38" s="1" t="s">
        <v>46</v>
      </c>
      <c r="C38" s="1" t="s">
        <v>105</v>
      </c>
      <c r="D38" s="1" t="s">
        <v>106</v>
      </c>
      <c r="E38" s="1" t="s">
        <v>63</v>
      </c>
      <c r="F38" s="1" t="s">
        <v>64</v>
      </c>
      <c r="G38" s="1" t="s">
        <v>107</v>
      </c>
    </row>
    <row r="39" spans="1:7" ht="15.75" customHeight="1">
      <c r="A39" s="1" t="s">
        <v>108</v>
      </c>
      <c r="B39" s="1" t="s">
        <v>46</v>
      </c>
      <c r="C39" s="1" t="s">
        <v>105</v>
      </c>
      <c r="D39" s="1" t="s">
        <v>109</v>
      </c>
      <c r="E39" s="1" t="s">
        <v>68</v>
      </c>
      <c r="F39" s="1" t="s">
        <v>69</v>
      </c>
      <c r="G39" s="1" t="s">
        <v>110</v>
      </c>
    </row>
    <row r="40" spans="1:7" ht="15.75" customHeight="1">
      <c r="A40" s="1" t="s">
        <v>111</v>
      </c>
      <c r="B40" s="1" t="s">
        <v>46</v>
      </c>
      <c r="C40" s="1" t="s">
        <v>105</v>
      </c>
      <c r="D40" s="1" t="s">
        <v>112</v>
      </c>
      <c r="E40" s="1" t="s">
        <v>76</v>
      </c>
      <c r="F40" s="1" t="s">
        <v>77</v>
      </c>
      <c r="G40" s="1" t="s">
        <v>113</v>
      </c>
    </row>
    <row r="41" spans="1:7" ht="15.75" customHeight="1">
      <c r="A41" s="1" t="s">
        <v>114</v>
      </c>
      <c r="B41" s="1" t="s">
        <v>46</v>
      </c>
      <c r="C41" s="1" t="s">
        <v>115</v>
      </c>
      <c r="D41" s="1" t="s">
        <v>116</v>
      </c>
      <c r="E41" s="1" t="s">
        <v>63</v>
      </c>
      <c r="F41" s="1" t="s">
        <v>64</v>
      </c>
      <c r="G41" s="1" t="s">
        <v>117</v>
      </c>
    </row>
    <row r="42" spans="1:7" ht="15.75" customHeight="1">
      <c r="A42" s="1" t="s">
        <v>118</v>
      </c>
      <c r="B42" s="1" t="s">
        <v>46</v>
      </c>
      <c r="C42" s="1" t="s">
        <v>115</v>
      </c>
      <c r="D42" s="1" t="s">
        <v>119</v>
      </c>
      <c r="E42" s="1" t="s">
        <v>68</v>
      </c>
      <c r="F42" s="1" t="s">
        <v>69</v>
      </c>
      <c r="G42" s="1" t="s">
        <v>120</v>
      </c>
    </row>
    <row r="43" spans="1:7" ht="15.75" customHeight="1">
      <c r="A43" s="1" t="s">
        <v>121</v>
      </c>
      <c r="B43" s="1" t="s">
        <v>46</v>
      </c>
      <c r="C43" s="1" t="s">
        <v>115</v>
      </c>
      <c r="D43" s="1" t="s">
        <v>122</v>
      </c>
      <c r="E43" s="1" t="s">
        <v>76</v>
      </c>
      <c r="F43" s="1" t="s">
        <v>77</v>
      </c>
      <c r="G43" s="1" t="s">
        <v>123</v>
      </c>
    </row>
    <row r="44" spans="1:7" ht="15.75" customHeight="1">
      <c r="A44" s="1" t="s">
        <v>124</v>
      </c>
      <c r="B44" s="1" t="s">
        <v>46</v>
      </c>
      <c r="C44" s="1" t="s">
        <v>115</v>
      </c>
      <c r="D44" s="1" t="s">
        <v>125</v>
      </c>
      <c r="E44" s="1" t="s">
        <v>126</v>
      </c>
      <c r="F44" s="1" t="s">
        <v>127</v>
      </c>
      <c r="G44" s="1" t="s">
        <v>128</v>
      </c>
    </row>
    <row r="45" spans="1:7" ht="15.75" customHeight="1">
      <c r="A45" s="1" t="s">
        <v>129</v>
      </c>
      <c r="B45" s="1" t="s">
        <v>46</v>
      </c>
      <c r="C45" s="1" t="s">
        <v>130</v>
      </c>
      <c r="D45" s="1" t="s">
        <v>131</v>
      </c>
      <c r="E45" s="1" t="s">
        <v>63</v>
      </c>
      <c r="F45" s="1" t="s">
        <v>64</v>
      </c>
      <c r="G45" s="1" t="s">
        <v>132</v>
      </c>
    </row>
    <row r="46" spans="1:7" ht="15.75" customHeight="1">
      <c r="A46" s="1" t="s">
        <v>133</v>
      </c>
      <c r="B46" s="1" t="s">
        <v>46</v>
      </c>
      <c r="C46" s="1" t="s">
        <v>134</v>
      </c>
      <c r="D46" s="1" t="s">
        <v>135</v>
      </c>
      <c r="E46" s="1" t="s">
        <v>136</v>
      </c>
      <c r="F46" s="1" t="s">
        <v>137</v>
      </c>
      <c r="G46" s="1" t="s">
        <v>138</v>
      </c>
    </row>
    <row r="47" spans="1:7" ht="15.75" customHeight="1">
      <c r="A47" s="1" t="s">
        <v>139</v>
      </c>
      <c r="B47" s="1" t="s">
        <v>46</v>
      </c>
      <c r="C47" s="1" t="s">
        <v>140</v>
      </c>
      <c r="D47" s="1" t="s">
        <v>141</v>
      </c>
      <c r="E47" s="1" t="s">
        <v>63</v>
      </c>
      <c r="F47" s="1" t="s">
        <v>64</v>
      </c>
      <c r="G47" s="1" t="s">
        <v>142</v>
      </c>
    </row>
    <row r="48" spans="1:7" ht="15.75" customHeight="1">
      <c r="A48" s="1" t="s">
        <v>143</v>
      </c>
      <c r="B48" s="1" t="s">
        <v>46</v>
      </c>
      <c r="C48" s="1" t="s">
        <v>144</v>
      </c>
      <c r="D48" s="1" t="s">
        <v>145</v>
      </c>
      <c r="E48" s="1" t="s">
        <v>63</v>
      </c>
      <c r="F48" s="1" t="s">
        <v>64</v>
      </c>
      <c r="G48" s="1" t="s">
        <v>146</v>
      </c>
    </row>
    <row r="49" spans="1:7" ht="15.75" customHeight="1">
      <c r="A49" s="1" t="s">
        <v>147</v>
      </c>
      <c r="B49" s="1" t="s">
        <v>46</v>
      </c>
      <c r="C49" s="1" t="s">
        <v>148</v>
      </c>
      <c r="D49" s="1" t="s">
        <v>149</v>
      </c>
      <c r="E49" s="1" t="s">
        <v>76</v>
      </c>
      <c r="F49" s="1" t="s">
        <v>150</v>
      </c>
      <c r="G49" s="1" t="s">
        <v>151</v>
      </c>
    </row>
    <row r="50" spans="1:7" ht="15.75" customHeight="1">
      <c r="A50" s="1" t="s">
        <v>152</v>
      </c>
      <c r="B50" s="1" t="s">
        <v>153</v>
      </c>
      <c r="C50" s="1" t="s">
        <v>154</v>
      </c>
      <c r="D50" s="1" t="s">
        <v>155</v>
      </c>
      <c r="E50" s="1" t="s">
        <v>156</v>
      </c>
      <c r="F50" s="1" t="s">
        <v>157</v>
      </c>
      <c r="G50" s="1" t="s">
        <v>158</v>
      </c>
    </row>
    <row r="51" spans="1:7" ht="15.75" customHeight="1">
      <c r="A51" s="1" t="s">
        <v>159</v>
      </c>
      <c r="B51" s="1" t="s">
        <v>153</v>
      </c>
      <c r="C51" s="1" t="s">
        <v>154</v>
      </c>
      <c r="D51" s="1" t="s">
        <v>160</v>
      </c>
      <c r="E51" s="1" t="s">
        <v>161</v>
      </c>
      <c r="F51" s="1" t="s">
        <v>157</v>
      </c>
      <c r="G51" s="1" t="s">
        <v>162</v>
      </c>
    </row>
    <row r="52" spans="1:7" ht="15.75" customHeight="1">
      <c r="A52" s="1" t="s">
        <v>163</v>
      </c>
      <c r="B52" s="1" t="s">
        <v>153</v>
      </c>
      <c r="C52" s="1" t="s">
        <v>154</v>
      </c>
      <c r="D52" s="1" t="s">
        <v>164</v>
      </c>
      <c r="E52" s="1" t="s">
        <v>165</v>
      </c>
      <c r="F52" s="1" t="s">
        <v>166</v>
      </c>
      <c r="G52" s="1" t="s">
        <v>167</v>
      </c>
    </row>
    <row r="53" spans="1:7" ht="15.75" customHeight="1">
      <c r="A53" s="1" t="s">
        <v>168</v>
      </c>
      <c r="B53" s="1" t="s">
        <v>153</v>
      </c>
      <c r="C53" s="1" t="s">
        <v>154</v>
      </c>
      <c r="D53" s="1" t="s">
        <v>169</v>
      </c>
      <c r="E53" s="1" t="s">
        <v>165</v>
      </c>
      <c r="F53" s="1" t="s">
        <v>157</v>
      </c>
      <c r="G53" s="1" t="s">
        <v>170</v>
      </c>
    </row>
    <row r="54" spans="1:7" ht="15.75" customHeight="1">
      <c r="A54" s="1" t="s">
        <v>171</v>
      </c>
      <c r="B54" s="1" t="s">
        <v>153</v>
      </c>
      <c r="C54" s="1" t="s">
        <v>154</v>
      </c>
      <c r="D54" s="1" t="s">
        <v>172</v>
      </c>
      <c r="E54" s="1" t="s">
        <v>165</v>
      </c>
      <c r="F54" s="1" t="s">
        <v>173</v>
      </c>
      <c r="G54" s="1" t="s">
        <v>174</v>
      </c>
    </row>
    <row r="55" spans="1:7" ht="15.75" customHeight="1">
      <c r="A55" s="1" t="s">
        <v>175</v>
      </c>
      <c r="B55" s="1" t="s">
        <v>153</v>
      </c>
      <c r="C55" s="1" t="s">
        <v>176</v>
      </c>
      <c r="D55" s="1" t="s">
        <v>177</v>
      </c>
      <c r="E55" s="1" t="s">
        <v>178</v>
      </c>
      <c r="F55" s="1" t="s">
        <v>179</v>
      </c>
      <c r="G55" s="1" t="s">
        <v>180</v>
      </c>
    </row>
    <row r="56" spans="1:7" ht="15.75" customHeight="1">
      <c r="A56" s="1" t="s">
        <v>181</v>
      </c>
      <c r="B56" s="1" t="s">
        <v>153</v>
      </c>
      <c r="C56" s="1" t="s">
        <v>176</v>
      </c>
      <c r="D56" s="1" t="s">
        <v>182</v>
      </c>
      <c r="E56" s="1" t="s">
        <v>178</v>
      </c>
      <c r="F56" s="1" t="s">
        <v>179</v>
      </c>
      <c r="G56" s="1" t="s">
        <v>183</v>
      </c>
    </row>
    <row r="57" spans="1:7" ht="15.75" customHeight="1">
      <c r="A57" s="1" t="s">
        <v>184</v>
      </c>
      <c r="B57" s="1" t="s">
        <v>153</v>
      </c>
      <c r="C57" s="1" t="s">
        <v>176</v>
      </c>
      <c r="D57" s="1" t="s">
        <v>185</v>
      </c>
      <c r="E57" s="1" t="s">
        <v>178</v>
      </c>
      <c r="F57" s="1" t="s">
        <v>179</v>
      </c>
      <c r="G57" s="1" t="s">
        <v>186</v>
      </c>
    </row>
    <row r="58" spans="1:7" ht="15.75" customHeight="1">
      <c r="A58" s="1" t="s">
        <v>187</v>
      </c>
      <c r="B58" s="1" t="s">
        <v>153</v>
      </c>
      <c r="C58" s="1" t="s">
        <v>176</v>
      </c>
      <c r="D58" s="1" t="s">
        <v>188</v>
      </c>
      <c r="E58" s="1" t="s">
        <v>178</v>
      </c>
      <c r="F58" s="1" t="s">
        <v>179</v>
      </c>
      <c r="G58" s="1" t="s">
        <v>189</v>
      </c>
    </row>
    <row r="59" spans="1:7" ht="15.75" customHeight="1">
      <c r="A59" s="1" t="s">
        <v>190</v>
      </c>
      <c r="B59" s="1" t="s">
        <v>153</v>
      </c>
      <c r="C59" s="1" t="s">
        <v>176</v>
      </c>
      <c r="D59" s="1" t="s">
        <v>191</v>
      </c>
      <c r="E59" s="1" t="s">
        <v>178</v>
      </c>
      <c r="F59" s="1" t="s">
        <v>179</v>
      </c>
      <c r="G59" s="1" t="s">
        <v>192</v>
      </c>
    </row>
    <row r="60" spans="1:7" ht="15.75" customHeight="1">
      <c r="A60" s="1" t="s">
        <v>193</v>
      </c>
      <c r="B60" s="1" t="s">
        <v>153</v>
      </c>
      <c r="C60" s="1" t="s">
        <v>194</v>
      </c>
      <c r="D60" s="1" t="s">
        <v>195</v>
      </c>
      <c r="E60" s="1" t="s">
        <v>156</v>
      </c>
      <c r="F60" s="1" t="s">
        <v>157</v>
      </c>
      <c r="G60" s="1" t="s">
        <v>196</v>
      </c>
    </row>
    <row r="61" spans="1:7" ht="15.75" customHeight="1">
      <c r="A61" s="1" t="s">
        <v>197</v>
      </c>
      <c r="B61" s="1" t="s">
        <v>153</v>
      </c>
      <c r="C61" s="1" t="s">
        <v>198</v>
      </c>
      <c r="D61" s="1" t="s">
        <v>199</v>
      </c>
      <c r="E61" s="1" t="s">
        <v>156</v>
      </c>
      <c r="F61" s="1" t="s">
        <v>157</v>
      </c>
      <c r="G61" s="1" t="s">
        <v>200</v>
      </c>
    </row>
    <row r="62" spans="1:7" ht="15.75" customHeight="1">
      <c r="A62" s="1" t="s">
        <v>201</v>
      </c>
      <c r="B62" s="1" t="s">
        <v>153</v>
      </c>
      <c r="C62" s="1" t="s">
        <v>202</v>
      </c>
      <c r="D62" s="1" t="s">
        <v>203</v>
      </c>
      <c r="E62" s="1" t="s">
        <v>204</v>
      </c>
      <c r="F62" s="1" t="s">
        <v>157</v>
      </c>
      <c r="G62" s="1" t="s">
        <v>205</v>
      </c>
    </row>
    <row r="63" spans="1:7" ht="15.75" customHeight="1">
      <c r="A63" s="1" t="s">
        <v>206</v>
      </c>
      <c r="B63" s="1" t="s">
        <v>153</v>
      </c>
      <c r="C63" s="1" t="s">
        <v>202</v>
      </c>
      <c r="D63" s="1" t="s">
        <v>207</v>
      </c>
      <c r="E63" s="1" t="s">
        <v>208</v>
      </c>
      <c r="F63" s="1" t="s">
        <v>209</v>
      </c>
      <c r="G63" s="1" t="s">
        <v>210</v>
      </c>
    </row>
    <row r="64" spans="1:7" ht="15.75" customHeight="1">
      <c r="A64" s="1" t="s">
        <v>211</v>
      </c>
      <c r="B64" s="1" t="s">
        <v>212</v>
      </c>
      <c r="C64" s="1" t="s">
        <v>213</v>
      </c>
      <c r="D64" s="1" t="s">
        <v>214</v>
      </c>
      <c r="E64" s="1" t="s">
        <v>215</v>
      </c>
      <c r="F64" s="1" t="s">
        <v>216</v>
      </c>
      <c r="G64" s="1" t="s">
        <v>217</v>
      </c>
    </row>
    <row r="65" spans="1:7" ht="15.75" customHeight="1">
      <c r="A65" s="1" t="s">
        <v>218</v>
      </c>
      <c r="B65" s="1" t="s">
        <v>212</v>
      </c>
      <c r="C65" s="1" t="s">
        <v>213</v>
      </c>
      <c r="D65" s="1" t="s">
        <v>219</v>
      </c>
      <c r="E65" s="1" t="s">
        <v>215</v>
      </c>
      <c r="F65" s="1" t="s">
        <v>216</v>
      </c>
      <c r="G65" s="1" t="s">
        <v>220</v>
      </c>
    </row>
    <row r="66" spans="1:7" ht="15.75" customHeight="1">
      <c r="A66" s="1" t="s">
        <v>221</v>
      </c>
      <c r="B66" s="1" t="s">
        <v>222</v>
      </c>
      <c r="C66" s="1" t="s">
        <v>223</v>
      </c>
      <c r="D66" s="1" t="s">
        <v>224</v>
      </c>
      <c r="E66" s="1" t="s">
        <v>225</v>
      </c>
      <c r="F66" s="1" t="s">
        <v>226</v>
      </c>
      <c r="G66" s="1" t="s">
        <v>227</v>
      </c>
    </row>
    <row r="67" spans="1:7" ht="15.75" customHeight="1">
      <c r="A67" s="1" t="s">
        <v>228</v>
      </c>
      <c r="B67" s="1" t="s">
        <v>222</v>
      </c>
      <c r="C67" s="1" t="s">
        <v>229</v>
      </c>
      <c r="D67" s="1" t="s">
        <v>230</v>
      </c>
      <c r="E67" s="1" t="s">
        <v>63</v>
      </c>
      <c r="F67" s="1" t="s">
        <v>64</v>
      </c>
      <c r="G67" s="1" t="s">
        <v>231</v>
      </c>
    </row>
    <row r="68" spans="1:7" ht="15.75" customHeight="1">
      <c r="A68" s="1" t="s">
        <v>232</v>
      </c>
      <c r="B68" s="1" t="s">
        <v>222</v>
      </c>
      <c r="C68" s="1" t="s">
        <v>229</v>
      </c>
      <c r="D68" s="1" t="s">
        <v>233</v>
      </c>
      <c r="E68" s="1" t="s">
        <v>234</v>
      </c>
      <c r="F68" s="1" t="s">
        <v>235</v>
      </c>
      <c r="G68" s="1" t="s">
        <v>236</v>
      </c>
    </row>
    <row r="69" spans="1:7" ht="15.75" customHeight="1">
      <c r="A69" s="1" t="s">
        <v>237</v>
      </c>
      <c r="B69" s="1" t="s">
        <v>222</v>
      </c>
      <c r="C69" s="1" t="s">
        <v>238</v>
      </c>
      <c r="D69" s="1" t="s">
        <v>239</v>
      </c>
      <c r="E69" s="1" t="s">
        <v>240</v>
      </c>
      <c r="F69" s="1" t="s">
        <v>69</v>
      </c>
      <c r="G69" s="1" t="s">
        <v>241</v>
      </c>
    </row>
    <row r="70" spans="1:7" ht="15.75" customHeight="1">
      <c r="A70" s="1" t="s">
        <v>242</v>
      </c>
      <c r="B70" s="1" t="s">
        <v>222</v>
      </c>
      <c r="C70" s="1" t="s">
        <v>238</v>
      </c>
      <c r="D70" s="1" t="s">
        <v>243</v>
      </c>
      <c r="E70" s="1" t="s">
        <v>244</v>
      </c>
      <c r="F70" s="1" t="s">
        <v>245</v>
      </c>
      <c r="G70" s="1" t="s">
        <v>246</v>
      </c>
    </row>
    <row r="71" spans="1:7" ht="15.75" customHeight="1">
      <c r="A71" s="1" t="s">
        <v>247</v>
      </c>
      <c r="B71" s="1" t="s">
        <v>222</v>
      </c>
      <c r="C71" s="1" t="s">
        <v>238</v>
      </c>
      <c r="D71" s="1" t="s">
        <v>248</v>
      </c>
      <c r="E71" s="1" t="s">
        <v>249</v>
      </c>
      <c r="F71" s="1" t="s">
        <v>250</v>
      </c>
      <c r="G71" s="1" t="s">
        <v>251</v>
      </c>
    </row>
    <row r="72" spans="1:7" ht="15.75" customHeight="1">
      <c r="A72" s="1" t="s">
        <v>252</v>
      </c>
      <c r="B72" s="1" t="s">
        <v>222</v>
      </c>
      <c r="C72" s="1" t="s">
        <v>253</v>
      </c>
      <c r="D72" s="1" t="s">
        <v>254</v>
      </c>
      <c r="E72" s="1" t="s">
        <v>63</v>
      </c>
      <c r="F72" s="1" t="s">
        <v>64</v>
      </c>
      <c r="G72" s="1" t="s">
        <v>255</v>
      </c>
    </row>
    <row r="73" spans="1:7" ht="15.75" customHeight="1">
      <c r="A73" s="1" t="s">
        <v>256</v>
      </c>
      <c r="B73" s="1" t="s">
        <v>222</v>
      </c>
      <c r="C73" s="1" t="s">
        <v>229</v>
      </c>
      <c r="D73" s="1" t="s">
        <v>257</v>
      </c>
      <c r="E73" s="1" t="s">
        <v>258</v>
      </c>
      <c r="F73" s="1" t="s">
        <v>245</v>
      </c>
      <c r="G73" s="1" t="s">
        <v>259</v>
      </c>
    </row>
    <row r="74" spans="1:7" ht="15.75" customHeight="1">
      <c r="A74" s="1" t="s">
        <v>260</v>
      </c>
      <c r="B74" s="1" t="s">
        <v>222</v>
      </c>
      <c r="C74" s="1" t="s">
        <v>261</v>
      </c>
      <c r="D74" s="1" t="s">
        <v>262</v>
      </c>
      <c r="E74" s="1" t="s">
        <v>263</v>
      </c>
      <c r="F74" s="1" t="s">
        <v>69</v>
      </c>
      <c r="G74" s="1" t="s">
        <v>264</v>
      </c>
    </row>
    <row r="75" spans="1:7" ht="15.75" customHeight="1">
      <c r="A75" s="1" t="s">
        <v>265</v>
      </c>
      <c r="B75" s="1" t="s">
        <v>222</v>
      </c>
      <c r="C75" s="1" t="s">
        <v>261</v>
      </c>
      <c r="D75" s="1" t="s">
        <v>266</v>
      </c>
      <c r="E75" s="1" t="s">
        <v>267</v>
      </c>
      <c r="F75" s="1" t="s">
        <v>245</v>
      </c>
      <c r="G75" s="1" t="s">
        <v>268</v>
      </c>
    </row>
    <row r="76" spans="1:7" ht="15.75" customHeight="1"/>
    <row r="77" spans="1:7" ht="15.75" customHeight="1"/>
    <row r="78" spans="1:7" ht="15.75" customHeight="1"/>
    <row r="79" spans="1:7" ht="15.75" customHeight="1"/>
    <row r="80" spans="1: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AI1000"/>
  <sheetViews>
    <sheetView workbookViewId="0">
      <pane ySplit="2" topLeftCell="A3" activePane="bottomLeft" state="frozen"/>
      <selection pane="bottomLeft"/>
    </sheetView>
  </sheetViews>
  <sheetFormatPr defaultColWidth="14.44140625" defaultRowHeight="15" customHeight="1"/>
  <cols>
    <col min="1" max="2" width="12" style="2" customWidth="1"/>
    <col min="3" max="3" width="24" style="2" customWidth="1"/>
    <col min="4" max="4" width="16" style="2" customWidth="1"/>
    <col min="5" max="5" width="8" style="2" customWidth="1"/>
    <col min="6" max="6" width="10" style="2" customWidth="1"/>
    <col min="7" max="7" width="24" style="2" customWidth="1"/>
    <col min="8" max="35" width="12" style="2" customWidth="1"/>
  </cols>
  <sheetData>
    <row r="1" spans="1:35" ht="72" customHeight="1">
      <c r="A1" s="3" t="s">
        <v>269</v>
      </c>
      <c r="G1" s="3" t="s">
        <v>270</v>
      </c>
      <c r="K1" s="3" t="s">
        <v>271</v>
      </c>
      <c r="M1" s="3" t="s">
        <v>272</v>
      </c>
      <c r="O1" s="3" t="s">
        <v>273</v>
      </c>
      <c r="Q1" s="3" t="s">
        <v>274</v>
      </c>
      <c r="S1" s="3" t="s">
        <v>275</v>
      </c>
      <c r="X1" s="3" t="s">
        <v>276</v>
      </c>
      <c r="AC1" s="3" t="s">
        <v>277</v>
      </c>
      <c r="AD1" s="3" t="s">
        <v>278</v>
      </c>
      <c r="AE1" s="3" t="s">
        <v>279</v>
      </c>
      <c r="AF1" s="3" t="s">
        <v>280</v>
      </c>
      <c r="AG1" s="3" t="s">
        <v>281</v>
      </c>
      <c r="AH1" s="3" t="s">
        <v>282</v>
      </c>
      <c r="AI1" s="3"/>
    </row>
    <row r="2" spans="1:35" ht="33.75" customHeight="1">
      <c r="A2" s="4" t="s">
        <v>283</v>
      </c>
      <c r="B2" s="4" t="s">
        <v>284</v>
      </c>
      <c r="C2" s="4" t="s">
        <v>285</v>
      </c>
      <c r="D2" s="4" t="s">
        <v>286</v>
      </c>
      <c r="E2" s="4" t="s">
        <v>53</v>
      </c>
      <c r="F2" s="4" t="s">
        <v>57</v>
      </c>
      <c r="G2" s="4" t="s">
        <v>65</v>
      </c>
      <c r="H2" s="4" t="s">
        <v>287</v>
      </c>
      <c r="I2" s="4" t="s">
        <v>288</v>
      </c>
      <c r="J2" s="4" t="s">
        <v>289</v>
      </c>
      <c r="K2" s="4" t="s">
        <v>73</v>
      </c>
      <c r="L2" s="4" t="s">
        <v>78</v>
      </c>
      <c r="M2" s="4" t="s">
        <v>84</v>
      </c>
      <c r="N2" s="4" t="s">
        <v>87</v>
      </c>
      <c r="O2" s="4" t="s">
        <v>91</v>
      </c>
      <c r="P2" s="4" t="s">
        <v>94</v>
      </c>
      <c r="Q2" s="4" t="s">
        <v>100</v>
      </c>
      <c r="R2" s="4" t="s">
        <v>103</v>
      </c>
      <c r="S2" s="4" t="s">
        <v>107</v>
      </c>
      <c r="T2" s="4" t="s">
        <v>290</v>
      </c>
      <c r="U2" s="4" t="s">
        <v>291</v>
      </c>
      <c r="V2" s="4" t="s">
        <v>292</v>
      </c>
      <c r="W2" s="4" t="s">
        <v>113</v>
      </c>
      <c r="X2" s="4" t="s">
        <v>117</v>
      </c>
      <c r="Y2" s="4" t="s">
        <v>293</v>
      </c>
      <c r="Z2" s="4" t="s">
        <v>294</v>
      </c>
      <c r="AA2" s="4" t="s">
        <v>295</v>
      </c>
      <c r="AB2" s="4" t="s">
        <v>123</v>
      </c>
      <c r="AC2" s="4" t="s">
        <v>128</v>
      </c>
      <c r="AD2" s="4" t="s">
        <v>132</v>
      </c>
      <c r="AE2" s="4" t="s">
        <v>138</v>
      </c>
      <c r="AF2" s="4" t="s">
        <v>142</v>
      </c>
      <c r="AG2" s="4" t="s">
        <v>146</v>
      </c>
      <c r="AH2" s="4" t="s">
        <v>151</v>
      </c>
      <c r="AI2" s="4" t="s">
        <v>296</v>
      </c>
    </row>
    <row r="3" spans="1:35" ht="54.75" customHeight="1">
      <c r="A3" s="5">
        <v>1</v>
      </c>
      <c r="B3" s="5" t="s">
        <v>297</v>
      </c>
      <c r="C3" s="5" t="s">
        <v>298</v>
      </c>
      <c r="D3" s="5" t="s">
        <v>299</v>
      </c>
      <c r="E3" s="5">
        <v>35</v>
      </c>
      <c r="F3" s="5" t="s">
        <v>300</v>
      </c>
      <c r="G3" s="5" t="s">
        <v>301</v>
      </c>
      <c r="H3" s="5" t="s">
        <v>302</v>
      </c>
      <c r="I3" s="5" t="s">
        <v>303</v>
      </c>
      <c r="J3" s="5" t="s">
        <v>304</v>
      </c>
      <c r="K3" s="5" t="s">
        <v>301</v>
      </c>
      <c r="L3" s="5" t="s">
        <v>305</v>
      </c>
      <c r="M3" s="5" t="s">
        <v>306</v>
      </c>
      <c r="N3" s="5" t="s">
        <v>304</v>
      </c>
      <c r="O3" s="5" t="s">
        <v>307</v>
      </c>
      <c r="P3" s="5" t="s">
        <v>304</v>
      </c>
      <c r="Q3" s="5" t="s">
        <v>301</v>
      </c>
      <c r="R3" s="5" t="s">
        <v>304</v>
      </c>
      <c r="S3" s="5" t="s">
        <v>307</v>
      </c>
      <c r="T3" s="5" t="s">
        <v>304</v>
      </c>
      <c r="U3" s="5" t="s">
        <v>304</v>
      </c>
      <c r="V3" s="5" t="s">
        <v>304</v>
      </c>
      <c r="W3" s="5" t="s">
        <v>304</v>
      </c>
      <c r="X3" s="5" t="s">
        <v>307</v>
      </c>
      <c r="Y3" s="5" t="s">
        <v>304</v>
      </c>
      <c r="Z3" s="5" t="s">
        <v>304</v>
      </c>
      <c r="AA3" s="5" t="s">
        <v>304</v>
      </c>
      <c r="AB3" s="5" t="s">
        <v>304</v>
      </c>
      <c r="AC3" s="5" t="s">
        <v>308</v>
      </c>
      <c r="AD3" s="5" t="s">
        <v>301</v>
      </c>
      <c r="AE3" s="5">
        <v>8</v>
      </c>
      <c r="AF3" s="5" t="s">
        <v>301</v>
      </c>
      <c r="AG3" s="5" t="s">
        <v>307</v>
      </c>
      <c r="AH3" s="5" t="s">
        <v>309</v>
      </c>
      <c r="AI3" s="5"/>
    </row>
    <row r="4" spans="1:35" ht="27.75" customHeight="1">
      <c r="A4" s="5">
        <v>2</v>
      </c>
      <c r="B4" s="5" t="s">
        <v>297</v>
      </c>
      <c r="C4" s="5" t="s">
        <v>298</v>
      </c>
      <c r="D4" s="5" t="s">
        <v>299</v>
      </c>
      <c r="E4" s="5">
        <v>20</v>
      </c>
      <c r="F4" s="5" t="s">
        <v>300</v>
      </c>
      <c r="G4" s="5" t="s">
        <v>301</v>
      </c>
      <c r="H4" s="5" t="s">
        <v>310</v>
      </c>
      <c r="I4" s="5" t="s">
        <v>303</v>
      </c>
      <c r="J4" s="5" t="s">
        <v>311</v>
      </c>
      <c r="K4" s="5" t="s">
        <v>307</v>
      </c>
      <c r="L4" s="5" t="s">
        <v>312</v>
      </c>
      <c r="M4" s="5" t="s">
        <v>313</v>
      </c>
      <c r="N4" s="5" t="s">
        <v>304</v>
      </c>
      <c r="O4" s="5" t="s">
        <v>307</v>
      </c>
      <c r="P4" s="5" t="s">
        <v>304</v>
      </c>
      <c r="Q4" s="5" t="s">
        <v>301</v>
      </c>
      <c r="R4" s="5" t="s">
        <v>304</v>
      </c>
      <c r="S4" s="5" t="s">
        <v>301</v>
      </c>
      <c r="T4" s="5" t="s">
        <v>314</v>
      </c>
      <c r="U4" s="5" t="s">
        <v>304</v>
      </c>
      <c r="V4" s="5" t="s">
        <v>304</v>
      </c>
      <c r="W4" s="5" t="s">
        <v>304</v>
      </c>
      <c r="X4" s="5" t="s">
        <v>301</v>
      </c>
      <c r="Y4" s="5" t="s">
        <v>315</v>
      </c>
      <c r="Z4" s="5" t="s">
        <v>316</v>
      </c>
      <c r="AA4" s="5" t="s">
        <v>304</v>
      </c>
      <c r="AB4" s="5" t="s">
        <v>304</v>
      </c>
      <c r="AC4" s="5" t="s">
        <v>317</v>
      </c>
      <c r="AD4" s="5" t="s">
        <v>301</v>
      </c>
      <c r="AE4" s="5">
        <v>1</v>
      </c>
      <c r="AF4" s="5" t="s">
        <v>307</v>
      </c>
      <c r="AG4" s="5" t="s">
        <v>307</v>
      </c>
      <c r="AH4" s="5" t="s">
        <v>318</v>
      </c>
      <c r="AI4" s="5"/>
    </row>
    <row r="5" spans="1:35" ht="41.25" customHeight="1">
      <c r="A5" s="5">
        <v>3</v>
      </c>
      <c r="B5" s="5" t="s">
        <v>297</v>
      </c>
      <c r="C5" s="5" t="s">
        <v>298</v>
      </c>
      <c r="D5" s="5" t="s">
        <v>299</v>
      </c>
      <c r="E5" s="5">
        <v>50</v>
      </c>
      <c r="F5" s="5" t="s">
        <v>300</v>
      </c>
      <c r="G5" s="5" t="s">
        <v>301</v>
      </c>
      <c r="H5" s="5" t="s">
        <v>310</v>
      </c>
      <c r="I5" s="5" t="s">
        <v>319</v>
      </c>
      <c r="J5" s="5" t="s">
        <v>311</v>
      </c>
      <c r="K5" s="5" t="s">
        <v>301</v>
      </c>
      <c r="L5" s="5" t="s">
        <v>320</v>
      </c>
      <c r="M5" s="5" t="s">
        <v>306</v>
      </c>
      <c r="N5" s="5" t="s">
        <v>304</v>
      </c>
      <c r="O5" s="5" t="s">
        <v>307</v>
      </c>
      <c r="P5" s="5" t="s">
        <v>304</v>
      </c>
      <c r="Q5" s="5" t="s">
        <v>301</v>
      </c>
      <c r="R5" s="5" t="s">
        <v>321</v>
      </c>
      <c r="S5" s="5" t="s">
        <v>307</v>
      </c>
      <c r="T5" s="5" t="s">
        <v>304</v>
      </c>
      <c r="U5" s="5" t="s">
        <v>304</v>
      </c>
      <c r="V5" s="5" t="s">
        <v>304</v>
      </c>
      <c r="W5" s="5" t="s">
        <v>304</v>
      </c>
      <c r="X5" s="5" t="s">
        <v>307</v>
      </c>
      <c r="Y5" s="5" t="s">
        <v>304</v>
      </c>
      <c r="Z5" s="5" t="s">
        <v>304</v>
      </c>
      <c r="AA5" s="5" t="s">
        <v>304</v>
      </c>
      <c r="AB5" s="5" t="s">
        <v>304</v>
      </c>
      <c r="AC5" s="5" t="s">
        <v>308</v>
      </c>
      <c r="AD5" s="5" t="s">
        <v>301</v>
      </c>
      <c r="AE5" s="5">
        <v>2</v>
      </c>
      <c r="AF5" s="5" t="s">
        <v>301</v>
      </c>
      <c r="AG5" s="5" t="s">
        <v>307</v>
      </c>
      <c r="AH5" s="5" t="s">
        <v>322</v>
      </c>
      <c r="AI5" s="5"/>
    </row>
    <row r="6" spans="1:35" ht="15" customHeight="1">
      <c r="A6" s="5">
        <v>4</v>
      </c>
      <c r="B6" s="5" t="s">
        <v>297</v>
      </c>
      <c r="C6" s="5" t="s">
        <v>298</v>
      </c>
      <c r="D6" s="5" t="s">
        <v>299</v>
      </c>
      <c r="E6" s="5">
        <v>40</v>
      </c>
      <c r="F6" s="5" t="s">
        <v>300</v>
      </c>
      <c r="G6" s="5" t="s">
        <v>301</v>
      </c>
      <c r="H6" s="5" t="s">
        <v>310</v>
      </c>
      <c r="I6" s="5" t="s">
        <v>303</v>
      </c>
      <c r="J6" s="5" t="s">
        <v>323</v>
      </c>
      <c r="K6" s="5" t="s">
        <v>301</v>
      </c>
      <c r="L6" s="5" t="s">
        <v>304</v>
      </c>
      <c r="M6" s="5" t="s">
        <v>306</v>
      </c>
      <c r="N6" s="5" t="s">
        <v>304</v>
      </c>
      <c r="O6" s="5" t="s">
        <v>307</v>
      </c>
      <c r="P6" s="5" t="s">
        <v>304</v>
      </c>
      <c r="Q6" s="5" t="s">
        <v>301</v>
      </c>
      <c r="R6" s="5" t="s">
        <v>304</v>
      </c>
      <c r="S6" s="5" t="s">
        <v>301</v>
      </c>
      <c r="T6" s="5" t="s">
        <v>324</v>
      </c>
      <c r="U6" s="5" t="s">
        <v>325</v>
      </c>
      <c r="V6" s="5" t="s">
        <v>304</v>
      </c>
      <c r="W6" s="5" t="s">
        <v>304</v>
      </c>
      <c r="X6" s="5" t="s">
        <v>301</v>
      </c>
      <c r="Y6" s="5" t="s">
        <v>326</v>
      </c>
      <c r="Z6" s="5" t="s">
        <v>304</v>
      </c>
      <c r="AA6" s="5" t="s">
        <v>304</v>
      </c>
      <c r="AB6" s="5" t="s">
        <v>304</v>
      </c>
      <c r="AC6" s="5" t="s">
        <v>327</v>
      </c>
      <c r="AD6" s="5" t="s">
        <v>301</v>
      </c>
      <c r="AE6" s="5">
        <v>3</v>
      </c>
      <c r="AF6" s="5" t="s">
        <v>301</v>
      </c>
      <c r="AG6" s="5" t="s">
        <v>307</v>
      </c>
      <c r="AH6" s="5" t="s">
        <v>307</v>
      </c>
      <c r="AI6" s="5"/>
    </row>
    <row r="7" spans="1:35" ht="15" customHeight="1">
      <c r="A7" s="5">
        <v>5</v>
      </c>
      <c r="B7" s="5" t="s">
        <v>297</v>
      </c>
      <c r="C7" s="5" t="s">
        <v>298</v>
      </c>
      <c r="D7" s="5" t="s">
        <v>299</v>
      </c>
      <c r="E7" s="5">
        <v>20</v>
      </c>
      <c r="F7" s="5" t="s">
        <v>300</v>
      </c>
      <c r="G7" s="5" t="s">
        <v>301</v>
      </c>
      <c r="H7" s="5" t="s">
        <v>328</v>
      </c>
      <c r="I7" s="5" t="s">
        <v>310</v>
      </c>
      <c r="J7" s="5" t="s">
        <v>329</v>
      </c>
      <c r="K7" s="5" t="s">
        <v>301</v>
      </c>
      <c r="L7" s="5" t="s">
        <v>304</v>
      </c>
      <c r="M7" s="5" t="s">
        <v>306</v>
      </c>
      <c r="N7" s="5" t="s">
        <v>304</v>
      </c>
      <c r="O7" s="5" t="s">
        <v>307</v>
      </c>
      <c r="P7" s="5" t="s">
        <v>304</v>
      </c>
      <c r="Q7" s="5" t="s">
        <v>301</v>
      </c>
      <c r="R7" s="5" t="s">
        <v>304</v>
      </c>
      <c r="S7" s="5" t="s">
        <v>307</v>
      </c>
      <c r="T7" s="5" t="s">
        <v>304</v>
      </c>
      <c r="U7" s="5" t="s">
        <v>304</v>
      </c>
      <c r="V7" s="5" t="s">
        <v>304</v>
      </c>
      <c r="W7" s="5" t="s">
        <v>304</v>
      </c>
      <c r="X7" s="5" t="s">
        <v>308</v>
      </c>
      <c r="Y7" s="5" t="s">
        <v>304</v>
      </c>
      <c r="Z7" s="5" t="s">
        <v>304</v>
      </c>
      <c r="AA7" s="5" t="s">
        <v>304</v>
      </c>
      <c r="AB7" s="5" t="s">
        <v>304</v>
      </c>
      <c r="AC7" s="5" t="s">
        <v>327</v>
      </c>
      <c r="AD7" s="5" t="s">
        <v>301</v>
      </c>
      <c r="AE7" s="5">
        <v>0</v>
      </c>
      <c r="AF7" s="5" t="s">
        <v>301</v>
      </c>
      <c r="AG7" s="5" t="s">
        <v>307</v>
      </c>
      <c r="AH7" s="5" t="s">
        <v>304</v>
      </c>
      <c r="AI7" s="5"/>
    </row>
    <row r="8" spans="1:35" ht="41.25" customHeight="1">
      <c r="A8" s="5">
        <v>6</v>
      </c>
      <c r="B8" s="5" t="s">
        <v>297</v>
      </c>
      <c r="C8" s="5" t="s">
        <v>298</v>
      </c>
      <c r="D8" s="5" t="s">
        <v>299</v>
      </c>
      <c r="E8" s="5">
        <v>34</v>
      </c>
      <c r="F8" s="5" t="s">
        <v>300</v>
      </c>
      <c r="G8" s="5" t="s">
        <v>301</v>
      </c>
      <c r="H8" s="5" t="s">
        <v>310</v>
      </c>
      <c r="I8" s="5" t="s">
        <v>303</v>
      </c>
      <c r="J8" s="5" t="s">
        <v>330</v>
      </c>
      <c r="K8" s="5" t="s">
        <v>301</v>
      </c>
      <c r="L8" s="5" t="s">
        <v>304</v>
      </c>
      <c r="M8" s="5" t="s">
        <v>306</v>
      </c>
      <c r="N8" s="5" t="s">
        <v>304</v>
      </c>
      <c r="O8" s="5" t="s">
        <v>307</v>
      </c>
      <c r="P8" s="5" t="s">
        <v>304</v>
      </c>
      <c r="Q8" s="5" t="s">
        <v>301</v>
      </c>
      <c r="R8" s="5" t="s">
        <v>331</v>
      </c>
      <c r="S8" s="5" t="s">
        <v>307</v>
      </c>
      <c r="T8" s="5" t="s">
        <v>304</v>
      </c>
      <c r="U8" s="5" t="s">
        <v>304</v>
      </c>
      <c r="V8" s="5" t="s">
        <v>304</v>
      </c>
      <c r="W8" s="5" t="s">
        <v>304</v>
      </c>
      <c r="X8" s="5" t="s">
        <v>307</v>
      </c>
      <c r="Y8" s="5" t="s">
        <v>304</v>
      </c>
      <c r="Z8" s="5" t="s">
        <v>304</v>
      </c>
      <c r="AA8" s="5" t="s">
        <v>304</v>
      </c>
      <c r="AB8" s="5" t="s">
        <v>332</v>
      </c>
      <c r="AC8" s="5" t="s">
        <v>327</v>
      </c>
      <c r="AD8" s="5" t="s">
        <v>301</v>
      </c>
      <c r="AE8" s="5">
        <v>2</v>
      </c>
      <c r="AF8" s="5" t="s">
        <v>301</v>
      </c>
      <c r="AG8" s="5" t="s">
        <v>307</v>
      </c>
      <c r="AH8" s="5" t="s">
        <v>333</v>
      </c>
      <c r="AI8" s="5"/>
    </row>
    <row r="9" spans="1:35" ht="54.75" customHeight="1">
      <c r="A9" s="5">
        <v>7</v>
      </c>
      <c r="B9" s="5" t="s">
        <v>297</v>
      </c>
      <c r="C9" s="5" t="s">
        <v>298</v>
      </c>
      <c r="D9" s="5" t="s">
        <v>299</v>
      </c>
      <c r="E9" s="5">
        <v>35</v>
      </c>
      <c r="F9" s="5" t="s">
        <v>300</v>
      </c>
      <c r="G9" s="5" t="s">
        <v>301</v>
      </c>
      <c r="H9" s="5" t="s">
        <v>328</v>
      </c>
      <c r="I9" s="5" t="s">
        <v>310</v>
      </c>
      <c r="J9" s="5" t="s">
        <v>311</v>
      </c>
      <c r="K9" s="5" t="s">
        <v>307</v>
      </c>
      <c r="L9" s="5" t="s">
        <v>304</v>
      </c>
      <c r="M9" s="5" t="s">
        <v>306</v>
      </c>
      <c r="N9" s="5" t="s">
        <v>304</v>
      </c>
      <c r="O9" s="5" t="s">
        <v>307</v>
      </c>
      <c r="P9" s="5" t="s">
        <v>304</v>
      </c>
      <c r="Q9" s="5" t="s">
        <v>301</v>
      </c>
      <c r="R9" s="5" t="s">
        <v>304</v>
      </c>
      <c r="S9" s="5" t="s">
        <v>307</v>
      </c>
      <c r="T9" s="5" t="s">
        <v>334</v>
      </c>
      <c r="U9" s="5" t="s">
        <v>304</v>
      </c>
      <c r="V9" s="5" t="s">
        <v>304</v>
      </c>
      <c r="W9" s="5" t="s">
        <v>304</v>
      </c>
      <c r="X9" s="5" t="s">
        <v>307</v>
      </c>
      <c r="Y9" s="5" t="s">
        <v>304</v>
      </c>
      <c r="Z9" s="5" t="s">
        <v>304</v>
      </c>
      <c r="AA9" s="5" t="s">
        <v>304</v>
      </c>
      <c r="AB9" s="5" t="s">
        <v>304</v>
      </c>
      <c r="AC9" s="5" t="s">
        <v>327</v>
      </c>
      <c r="AD9" s="5" t="s">
        <v>307</v>
      </c>
      <c r="AE9" s="5">
        <v>3</v>
      </c>
      <c r="AF9" s="5" t="s">
        <v>307</v>
      </c>
      <c r="AG9" s="5" t="s">
        <v>307</v>
      </c>
      <c r="AH9" s="5" t="s">
        <v>335</v>
      </c>
      <c r="AI9" s="5"/>
    </row>
    <row r="10" spans="1:35" ht="41.25" customHeight="1">
      <c r="A10" s="5">
        <v>8</v>
      </c>
      <c r="B10" s="5" t="s">
        <v>297</v>
      </c>
      <c r="C10" s="5" t="s">
        <v>336</v>
      </c>
      <c r="D10" s="5" t="s">
        <v>337</v>
      </c>
      <c r="E10" s="5">
        <v>31</v>
      </c>
      <c r="F10" s="5" t="s">
        <v>300</v>
      </c>
      <c r="G10" s="5" t="s">
        <v>301</v>
      </c>
      <c r="H10" s="5" t="s">
        <v>303</v>
      </c>
      <c r="I10" s="5" t="s">
        <v>338</v>
      </c>
      <c r="J10" s="5" t="s">
        <v>339</v>
      </c>
      <c r="K10" s="5" t="s">
        <v>301</v>
      </c>
      <c r="L10" s="5" t="s">
        <v>340</v>
      </c>
      <c r="M10" s="5" t="s">
        <v>313</v>
      </c>
      <c r="N10" s="5" t="s">
        <v>304</v>
      </c>
      <c r="O10" s="5" t="s">
        <v>307</v>
      </c>
      <c r="P10" s="5" t="s">
        <v>304</v>
      </c>
      <c r="Q10" s="5" t="s">
        <v>307</v>
      </c>
      <c r="R10" s="5" t="s">
        <v>304</v>
      </c>
      <c r="S10" s="5" t="s">
        <v>301</v>
      </c>
      <c r="T10" s="5" t="s">
        <v>304</v>
      </c>
      <c r="U10" s="5" t="s">
        <v>304</v>
      </c>
      <c r="V10" s="5" t="s">
        <v>304</v>
      </c>
      <c r="W10" s="5" t="s">
        <v>304</v>
      </c>
      <c r="X10" s="5" t="s">
        <v>301</v>
      </c>
      <c r="Y10" s="5" t="s">
        <v>304</v>
      </c>
      <c r="Z10" s="5" t="s">
        <v>304</v>
      </c>
      <c r="AA10" s="5" t="s">
        <v>304</v>
      </c>
      <c r="AB10" s="5" t="s">
        <v>304</v>
      </c>
      <c r="AC10" s="5" t="s">
        <v>327</v>
      </c>
      <c r="AD10" s="5" t="s">
        <v>301</v>
      </c>
      <c r="AE10" s="5">
        <v>4</v>
      </c>
      <c r="AF10" s="5" t="s">
        <v>301</v>
      </c>
      <c r="AG10" s="5" t="s">
        <v>307</v>
      </c>
      <c r="AH10" s="5" t="s">
        <v>341</v>
      </c>
      <c r="AI10" s="5"/>
    </row>
    <row r="11" spans="1:35" ht="54.75" customHeight="1">
      <c r="A11" s="5">
        <v>9</v>
      </c>
      <c r="B11" s="5" t="s">
        <v>297</v>
      </c>
      <c r="C11" s="5" t="s">
        <v>342</v>
      </c>
      <c r="D11" s="5" t="s">
        <v>299</v>
      </c>
      <c r="E11" s="5">
        <v>24</v>
      </c>
      <c r="F11" s="5" t="s">
        <v>300</v>
      </c>
      <c r="G11" s="5" t="s">
        <v>301</v>
      </c>
      <c r="H11" s="5" t="s">
        <v>310</v>
      </c>
      <c r="I11" s="5" t="s">
        <v>303</v>
      </c>
      <c r="J11" s="5" t="s">
        <v>330</v>
      </c>
      <c r="K11" s="5" t="s">
        <v>307</v>
      </c>
      <c r="L11" s="5" t="s">
        <v>304</v>
      </c>
      <c r="M11" s="5" t="s">
        <v>306</v>
      </c>
      <c r="N11" s="5" t="s">
        <v>343</v>
      </c>
      <c r="O11" s="5" t="s">
        <v>307</v>
      </c>
      <c r="P11" s="5" t="s">
        <v>304</v>
      </c>
      <c r="Q11" s="5" t="s">
        <v>301</v>
      </c>
      <c r="R11" s="5" t="s">
        <v>304</v>
      </c>
      <c r="S11" s="5" t="s">
        <v>307</v>
      </c>
      <c r="T11" s="5" t="s">
        <v>304</v>
      </c>
      <c r="U11" s="5" t="s">
        <v>304</v>
      </c>
      <c r="V11" s="5" t="s">
        <v>304</v>
      </c>
      <c r="W11" s="5" t="s">
        <v>304</v>
      </c>
      <c r="X11" s="5" t="s">
        <v>307</v>
      </c>
      <c r="Y11" s="5" t="s">
        <v>304</v>
      </c>
      <c r="Z11" s="5" t="s">
        <v>304</v>
      </c>
      <c r="AA11" s="5" t="s">
        <v>304</v>
      </c>
      <c r="AB11" s="5" t="s">
        <v>304</v>
      </c>
      <c r="AC11" s="5" t="s">
        <v>327</v>
      </c>
      <c r="AD11" s="5" t="s">
        <v>307</v>
      </c>
      <c r="AE11" s="5">
        <v>5</v>
      </c>
      <c r="AF11" s="5" t="s">
        <v>301</v>
      </c>
      <c r="AG11" s="5" t="s">
        <v>317</v>
      </c>
      <c r="AH11" s="5" t="s">
        <v>344</v>
      </c>
      <c r="AI11" s="5"/>
    </row>
    <row r="12" spans="1:35" ht="54.75" customHeight="1">
      <c r="A12" s="5">
        <v>10</v>
      </c>
      <c r="B12" s="5" t="s">
        <v>297</v>
      </c>
      <c r="C12" s="5" t="s">
        <v>345</v>
      </c>
      <c r="D12" s="5" t="s">
        <v>299</v>
      </c>
      <c r="E12" s="5">
        <v>26</v>
      </c>
      <c r="F12" s="5" t="s">
        <v>300</v>
      </c>
      <c r="G12" s="5" t="s">
        <v>301</v>
      </c>
      <c r="H12" s="5" t="s">
        <v>328</v>
      </c>
      <c r="I12" s="5" t="s">
        <v>311</v>
      </c>
      <c r="J12" s="5" t="s">
        <v>310</v>
      </c>
      <c r="K12" s="5" t="s">
        <v>301</v>
      </c>
      <c r="L12" s="5" t="s">
        <v>346</v>
      </c>
      <c r="M12" s="5" t="s">
        <v>306</v>
      </c>
      <c r="N12" s="5" t="s">
        <v>347</v>
      </c>
      <c r="O12" s="5" t="s">
        <v>307</v>
      </c>
      <c r="P12" s="5" t="s">
        <v>304</v>
      </c>
      <c r="Q12" s="5" t="s">
        <v>301</v>
      </c>
      <c r="R12" s="5" t="s">
        <v>348</v>
      </c>
      <c r="S12" s="5" t="s">
        <v>307</v>
      </c>
      <c r="T12" s="5" t="s">
        <v>334</v>
      </c>
      <c r="U12" s="5" t="s">
        <v>304</v>
      </c>
      <c r="V12" s="5" t="s">
        <v>304</v>
      </c>
      <c r="W12" s="5" t="s">
        <v>304</v>
      </c>
      <c r="X12" s="5" t="s">
        <v>301</v>
      </c>
      <c r="Y12" s="5" t="s">
        <v>304</v>
      </c>
      <c r="Z12" s="5" t="s">
        <v>304</v>
      </c>
      <c r="AA12" s="5" t="s">
        <v>304</v>
      </c>
      <c r="AB12" s="5" t="s">
        <v>349</v>
      </c>
      <c r="AC12" s="5" t="s">
        <v>327</v>
      </c>
      <c r="AD12" s="5" t="s">
        <v>301</v>
      </c>
      <c r="AE12" s="5" t="s">
        <v>350</v>
      </c>
      <c r="AF12" s="5" t="s">
        <v>301</v>
      </c>
      <c r="AG12" s="5" t="s">
        <v>307</v>
      </c>
      <c r="AH12" s="5" t="s">
        <v>351</v>
      </c>
      <c r="AI12" s="5"/>
    </row>
    <row r="13" spans="1:35" ht="68.25" customHeight="1">
      <c r="A13" s="5">
        <v>11</v>
      </c>
      <c r="B13" s="5" t="s">
        <v>297</v>
      </c>
      <c r="C13" s="5" t="s">
        <v>352</v>
      </c>
      <c r="D13" s="5" t="s">
        <v>337</v>
      </c>
      <c r="E13" s="5">
        <v>67</v>
      </c>
      <c r="F13" s="5" t="s">
        <v>300</v>
      </c>
      <c r="G13" s="5" t="s">
        <v>301</v>
      </c>
      <c r="H13" s="5" t="s">
        <v>328</v>
      </c>
      <c r="I13" s="5" t="s">
        <v>310</v>
      </c>
      <c r="J13" s="5" t="s">
        <v>304</v>
      </c>
      <c r="K13" s="5" t="s">
        <v>301</v>
      </c>
      <c r="L13" s="5" t="s">
        <v>353</v>
      </c>
      <c r="M13" s="5" t="s">
        <v>313</v>
      </c>
      <c r="N13" s="5" t="s">
        <v>304</v>
      </c>
      <c r="O13" s="5" t="s">
        <v>307</v>
      </c>
      <c r="P13" s="5" t="s">
        <v>354</v>
      </c>
      <c r="Q13" s="5" t="s">
        <v>301</v>
      </c>
      <c r="R13" s="5" t="s">
        <v>355</v>
      </c>
      <c r="S13" s="5" t="s">
        <v>301</v>
      </c>
      <c r="T13" s="5" t="s">
        <v>334</v>
      </c>
      <c r="U13" s="5" t="s">
        <v>304</v>
      </c>
      <c r="V13" s="5" t="s">
        <v>304</v>
      </c>
      <c r="W13" s="5" t="s">
        <v>304</v>
      </c>
      <c r="X13" s="5" t="s">
        <v>301</v>
      </c>
      <c r="Y13" s="5" t="s">
        <v>304</v>
      </c>
      <c r="Z13" s="5" t="s">
        <v>304</v>
      </c>
      <c r="AA13" s="5" t="s">
        <v>304</v>
      </c>
      <c r="AB13" s="5" t="s">
        <v>356</v>
      </c>
      <c r="AC13" s="5" t="s">
        <v>327</v>
      </c>
      <c r="AD13" s="5" t="s">
        <v>301</v>
      </c>
      <c r="AE13" s="5" t="s">
        <v>357</v>
      </c>
      <c r="AF13" s="5" t="s">
        <v>301</v>
      </c>
      <c r="AG13" s="5" t="s">
        <v>307</v>
      </c>
      <c r="AH13" s="5" t="s">
        <v>358</v>
      </c>
      <c r="AI13" s="5"/>
    </row>
    <row r="14" spans="1:35" ht="68.25" customHeight="1">
      <c r="A14" s="5">
        <v>12</v>
      </c>
      <c r="B14" s="5" t="s">
        <v>297</v>
      </c>
      <c r="C14" s="5" t="s">
        <v>359</v>
      </c>
      <c r="D14" s="5" t="s">
        <v>337</v>
      </c>
      <c r="E14" s="5">
        <v>40</v>
      </c>
      <c r="F14" s="5" t="s">
        <v>300</v>
      </c>
      <c r="G14" s="5" t="s">
        <v>301</v>
      </c>
      <c r="H14" s="5" t="s">
        <v>328</v>
      </c>
      <c r="I14" s="5" t="s">
        <v>310</v>
      </c>
      <c r="J14" s="5" t="s">
        <v>304</v>
      </c>
      <c r="K14" s="5" t="s">
        <v>301</v>
      </c>
      <c r="L14" s="5" t="s">
        <v>304</v>
      </c>
      <c r="M14" s="5" t="s">
        <v>313</v>
      </c>
      <c r="N14" s="5" t="s">
        <v>304</v>
      </c>
      <c r="O14" s="5" t="s">
        <v>307</v>
      </c>
      <c r="P14" s="5" t="s">
        <v>304</v>
      </c>
      <c r="Q14" s="5" t="s">
        <v>307</v>
      </c>
      <c r="R14" s="5" t="s">
        <v>360</v>
      </c>
      <c r="S14" s="5" t="s">
        <v>301</v>
      </c>
      <c r="T14" s="5" t="s">
        <v>334</v>
      </c>
      <c r="U14" s="5" t="s">
        <v>304</v>
      </c>
      <c r="V14" s="5" t="s">
        <v>304</v>
      </c>
      <c r="W14" s="5" t="s">
        <v>304</v>
      </c>
      <c r="X14" s="5" t="s">
        <v>301</v>
      </c>
      <c r="Y14" s="5" t="s">
        <v>304</v>
      </c>
      <c r="Z14" s="5" t="s">
        <v>304</v>
      </c>
      <c r="AA14" s="5" t="s">
        <v>304</v>
      </c>
      <c r="AB14" s="5" t="s">
        <v>361</v>
      </c>
      <c r="AC14" s="5" t="s">
        <v>327</v>
      </c>
      <c r="AD14" s="5" t="s">
        <v>301</v>
      </c>
      <c r="AE14" s="5">
        <v>0</v>
      </c>
      <c r="AF14" s="5" t="s">
        <v>307</v>
      </c>
      <c r="AG14" s="5" t="s">
        <v>307</v>
      </c>
      <c r="AH14" s="5" t="s">
        <v>362</v>
      </c>
      <c r="AI14" s="5"/>
    </row>
    <row r="15" spans="1:35" ht="41.25" customHeight="1">
      <c r="A15" s="5">
        <v>13</v>
      </c>
      <c r="B15" s="5" t="s">
        <v>297</v>
      </c>
      <c r="C15" s="5" t="s">
        <v>352</v>
      </c>
      <c r="D15" s="5" t="s">
        <v>337</v>
      </c>
      <c r="E15" s="5">
        <v>72</v>
      </c>
      <c r="F15" s="5" t="s">
        <v>300</v>
      </c>
      <c r="G15" s="5" t="s">
        <v>301</v>
      </c>
      <c r="H15" s="5" t="s">
        <v>310</v>
      </c>
      <c r="I15" s="5" t="s">
        <v>363</v>
      </c>
      <c r="J15" s="5" t="s">
        <v>304</v>
      </c>
      <c r="K15" s="5" t="s">
        <v>301</v>
      </c>
      <c r="L15" s="5" t="s">
        <v>304</v>
      </c>
      <c r="M15" s="5" t="s">
        <v>313</v>
      </c>
      <c r="N15" s="5" t="s">
        <v>304</v>
      </c>
      <c r="O15" s="5" t="s">
        <v>307</v>
      </c>
      <c r="P15" s="5" t="s">
        <v>304</v>
      </c>
      <c r="Q15" s="5" t="s">
        <v>307</v>
      </c>
      <c r="R15" s="5" t="s">
        <v>304</v>
      </c>
      <c r="S15" s="5" t="s">
        <v>301</v>
      </c>
      <c r="T15" s="5" t="s">
        <v>334</v>
      </c>
      <c r="U15" s="5" t="s">
        <v>304</v>
      </c>
      <c r="V15" s="5" t="s">
        <v>304</v>
      </c>
      <c r="W15" s="5" t="s">
        <v>304</v>
      </c>
      <c r="X15" s="5" t="s">
        <v>301</v>
      </c>
      <c r="Y15" s="5" t="s">
        <v>304</v>
      </c>
      <c r="Z15" s="5" t="s">
        <v>304</v>
      </c>
      <c r="AA15" s="5" t="s">
        <v>304</v>
      </c>
      <c r="AB15" s="5" t="s">
        <v>364</v>
      </c>
      <c r="AC15" s="5" t="s">
        <v>327</v>
      </c>
      <c r="AD15" s="5" t="s">
        <v>301</v>
      </c>
      <c r="AE15" s="5">
        <v>0</v>
      </c>
      <c r="AF15" s="5" t="s">
        <v>301</v>
      </c>
      <c r="AG15" s="5" t="s">
        <v>307</v>
      </c>
      <c r="AH15" s="5" t="s">
        <v>304</v>
      </c>
      <c r="AI15" s="5"/>
    </row>
    <row r="16" spans="1:35" ht="54.75" customHeight="1">
      <c r="A16" s="5">
        <v>14</v>
      </c>
      <c r="B16" s="5" t="s">
        <v>297</v>
      </c>
      <c r="C16" s="5" t="s">
        <v>365</v>
      </c>
      <c r="D16" s="5" t="s">
        <v>299</v>
      </c>
      <c r="E16" s="5">
        <v>22</v>
      </c>
      <c r="F16" s="5" t="s">
        <v>300</v>
      </c>
      <c r="G16" s="5" t="s">
        <v>301</v>
      </c>
      <c r="H16" s="5" t="s">
        <v>310</v>
      </c>
      <c r="I16" s="5" t="s">
        <v>303</v>
      </c>
      <c r="J16" s="5" t="s">
        <v>311</v>
      </c>
      <c r="K16" s="5" t="s">
        <v>301</v>
      </c>
      <c r="L16" s="5" t="s">
        <v>304</v>
      </c>
      <c r="M16" s="5" t="s">
        <v>306</v>
      </c>
      <c r="N16" s="5" t="s">
        <v>304</v>
      </c>
      <c r="O16" s="5" t="s">
        <v>307</v>
      </c>
      <c r="P16" s="5" t="s">
        <v>304</v>
      </c>
      <c r="Q16" s="5" t="s">
        <v>307</v>
      </c>
      <c r="R16" s="5" t="s">
        <v>366</v>
      </c>
      <c r="S16" s="5" t="s">
        <v>307</v>
      </c>
      <c r="T16" s="5" t="s">
        <v>334</v>
      </c>
      <c r="U16" s="5" t="s">
        <v>304</v>
      </c>
      <c r="V16" s="5" t="s">
        <v>304</v>
      </c>
      <c r="W16" s="5" t="s">
        <v>304</v>
      </c>
      <c r="X16" s="5" t="s">
        <v>301</v>
      </c>
      <c r="Y16" s="5" t="s">
        <v>367</v>
      </c>
      <c r="Z16" s="5" t="s">
        <v>368</v>
      </c>
      <c r="AA16" s="5" t="s">
        <v>369</v>
      </c>
      <c r="AB16" s="5" t="s">
        <v>370</v>
      </c>
      <c r="AC16" s="5" t="s">
        <v>371</v>
      </c>
      <c r="AD16" s="5" t="s">
        <v>307</v>
      </c>
      <c r="AE16" s="5">
        <v>3</v>
      </c>
      <c r="AF16" s="5" t="s">
        <v>307</v>
      </c>
      <c r="AG16" s="5" t="s">
        <v>307</v>
      </c>
      <c r="AH16" s="5" t="s">
        <v>372</v>
      </c>
      <c r="AI16" s="5"/>
    </row>
    <row r="17" spans="1:35" ht="27.75" customHeight="1">
      <c r="A17" s="5">
        <v>15</v>
      </c>
      <c r="B17" s="5" t="s">
        <v>297</v>
      </c>
      <c r="C17" s="5" t="s">
        <v>373</v>
      </c>
      <c r="D17" s="5" t="s">
        <v>337</v>
      </c>
      <c r="E17" s="5">
        <v>63</v>
      </c>
      <c r="F17" s="5" t="s">
        <v>300</v>
      </c>
      <c r="G17" s="5" t="s">
        <v>301</v>
      </c>
      <c r="H17" s="5" t="s">
        <v>310</v>
      </c>
      <c r="I17" s="5" t="s">
        <v>338</v>
      </c>
      <c r="J17" s="5" t="s">
        <v>374</v>
      </c>
      <c r="K17" s="5" t="s">
        <v>301</v>
      </c>
      <c r="L17" s="5" t="s">
        <v>375</v>
      </c>
      <c r="M17" s="5" t="s">
        <v>313</v>
      </c>
      <c r="N17" s="5" t="s">
        <v>304</v>
      </c>
      <c r="O17" s="5" t="s">
        <v>307</v>
      </c>
      <c r="P17" s="5" t="s">
        <v>304</v>
      </c>
      <c r="Q17" s="5" t="s">
        <v>307</v>
      </c>
      <c r="R17" s="5" t="s">
        <v>376</v>
      </c>
      <c r="S17" s="5" t="s">
        <v>307</v>
      </c>
      <c r="T17" s="5" t="s">
        <v>377</v>
      </c>
      <c r="U17" s="5" t="s">
        <v>334</v>
      </c>
      <c r="V17" s="5" t="s">
        <v>304</v>
      </c>
      <c r="W17" s="5" t="s">
        <v>304</v>
      </c>
      <c r="X17" s="5" t="s">
        <v>307</v>
      </c>
      <c r="Y17" s="5" t="s">
        <v>304</v>
      </c>
      <c r="Z17" s="5" t="s">
        <v>304</v>
      </c>
      <c r="AA17" s="5" t="s">
        <v>304</v>
      </c>
      <c r="AB17" s="5" t="s">
        <v>378</v>
      </c>
      <c r="AC17" s="5" t="s">
        <v>327</v>
      </c>
      <c r="AD17" s="5" t="s">
        <v>301</v>
      </c>
      <c r="AE17" s="5">
        <v>6</v>
      </c>
      <c r="AF17" s="5" t="s">
        <v>301</v>
      </c>
      <c r="AG17" s="5" t="s">
        <v>307</v>
      </c>
      <c r="AH17" s="5" t="s">
        <v>379</v>
      </c>
      <c r="AI17" s="5"/>
    </row>
    <row r="18" spans="1:35" ht="41.25" customHeight="1">
      <c r="A18" s="5">
        <v>16</v>
      </c>
      <c r="B18" s="5" t="s">
        <v>297</v>
      </c>
      <c r="C18" s="5" t="s">
        <v>342</v>
      </c>
      <c r="D18" s="5" t="s">
        <v>299</v>
      </c>
      <c r="E18" s="5">
        <v>55</v>
      </c>
      <c r="F18" s="5" t="s">
        <v>300</v>
      </c>
      <c r="G18" s="5" t="s">
        <v>301</v>
      </c>
      <c r="H18" s="5" t="s">
        <v>303</v>
      </c>
      <c r="I18" s="5" t="s">
        <v>310</v>
      </c>
      <c r="J18" s="5" t="s">
        <v>330</v>
      </c>
      <c r="K18" s="5" t="s">
        <v>307</v>
      </c>
      <c r="L18" s="5" t="s">
        <v>304</v>
      </c>
      <c r="M18" s="5" t="s">
        <v>306</v>
      </c>
      <c r="N18" s="5" t="s">
        <v>380</v>
      </c>
      <c r="O18" s="5" t="s">
        <v>307</v>
      </c>
      <c r="P18" s="5" t="s">
        <v>304</v>
      </c>
      <c r="Q18" s="5" t="s">
        <v>301</v>
      </c>
      <c r="R18" s="5" t="s">
        <v>381</v>
      </c>
      <c r="S18" s="5" t="s">
        <v>301</v>
      </c>
      <c r="T18" s="5" t="s">
        <v>382</v>
      </c>
      <c r="U18" s="5" t="s">
        <v>334</v>
      </c>
      <c r="V18" s="5" t="s">
        <v>304</v>
      </c>
      <c r="W18" s="5" t="s">
        <v>304</v>
      </c>
      <c r="X18" s="5" t="s">
        <v>307</v>
      </c>
      <c r="Y18" s="5" t="s">
        <v>304</v>
      </c>
      <c r="Z18" s="5" t="s">
        <v>304</v>
      </c>
      <c r="AA18" s="5" t="s">
        <v>304</v>
      </c>
      <c r="AB18" s="5" t="s">
        <v>304</v>
      </c>
      <c r="AC18" s="5" t="s">
        <v>327</v>
      </c>
      <c r="AD18" s="5" t="s">
        <v>301</v>
      </c>
      <c r="AE18" s="5" t="s">
        <v>357</v>
      </c>
      <c r="AF18" s="5" t="s">
        <v>301</v>
      </c>
      <c r="AG18" s="5" t="s">
        <v>307</v>
      </c>
      <c r="AH18" s="5" t="s">
        <v>307</v>
      </c>
      <c r="AI18" s="5"/>
    </row>
    <row r="19" spans="1:35" ht="54.75" customHeight="1">
      <c r="A19" s="5">
        <v>17</v>
      </c>
      <c r="B19" s="5" t="s">
        <v>297</v>
      </c>
      <c r="C19" s="5" t="s">
        <v>319</v>
      </c>
      <c r="D19" s="5" t="s">
        <v>337</v>
      </c>
      <c r="E19" s="5">
        <v>61</v>
      </c>
      <c r="F19" s="5" t="s">
        <v>300</v>
      </c>
      <c r="G19" s="5" t="s">
        <v>301</v>
      </c>
      <c r="H19" s="5" t="s">
        <v>310</v>
      </c>
      <c r="I19" s="5" t="s">
        <v>338</v>
      </c>
      <c r="J19" s="5" t="s">
        <v>328</v>
      </c>
      <c r="K19" s="5" t="s">
        <v>383</v>
      </c>
      <c r="L19" s="5" t="s">
        <v>304</v>
      </c>
      <c r="M19" s="5" t="s">
        <v>313</v>
      </c>
      <c r="N19" s="5" t="s">
        <v>304</v>
      </c>
      <c r="O19" s="5" t="s">
        <v>307</v>
      </c>
      <c r="P19" s="5" t="s">
        <v>304</v>
      </c>
      <c r="Q19" s="5" t="s">
        <v>301</v>
      </c>
      <c r="R19" s="5" t="s">
        <v>384</v>
      </c>
      <c r="S19" s="5" t="s">
        <v>301</v>
      </c>
      <c r="T19" s="5" t="s">
        <v>334</v>
      </c>
      <c r="U19" s="5" t="s">
        <v>304</v>
      </c>
      <c r="V19" s="5" t="s">
        <v>304</v>
      </c>
      <c r="W19" s="5" t="s">
        <v>304</v>
      </c>
      <c r="X19" s="5" t="s">
        <v>307</v>
      </c>
      <c r="Y19" s="5" t="s">
        <v>304</v>
      </c>
      <c r="Z19" s="5" t="s">
        <v>304</v>
      </c>
      <c r="AA19" s="5" t="s">
        <v>304</v>
      </c>
      <c r="AB19" s="5" t="s">
        <v>304</v>
      </c>
      <c r="AC19" s="5" t="s">
        <v>308</v>
      </c>
      <c r="AD19" s="5" t="s">
        <v>307</v>
      </c>
      <c r="AE19" s="5" t="s">
        <v>357</v>
      </c>
      <c r="AF19" s="5" t="s">
        <v>307</v>
      </c>
      <c r="AG19" s="5" t="s">
        <v>307</v>
      </c>
      <c r="AH19" s="5" t="s">
        <v>307</v>
      </c>
      <c r="AI19" s="5"/>
    </row>
    <row r="20" spans="1:35" ht="68.25" customHeight="1">
      <c r="A20" s="5">
        <v>18</v>
      </c>
      <c r="B20" s="5" t="s">
        <v>297</v>
      </c>
      <c r="C20" s="5" t="s">
        <v>385</v>
      </c>
      <c r="D20" s="5" t="s">
        <v>299</v>
      </c>
      <c r="E20" s="5">
        <v>37</v>
      </c>
      <c r="F20" s="5" t="s">
        <v>300</v>
      </c>
      <c r="G20" s="5" t="s">
        <v>301</v>
      </c>
      <c r="H20" s="5" t="s">
        <v>310</v>
      </c>
      <c r="I20" s="5" t="s">
        <v>303</v>
      </c>
      <c r="J20" s="5" t="s">
        <v>330</v>
      </c>
      <c r="K20" s="5" t="s">
        <v>301</v>
      </c>
      <c r="L20" s="5" t="s">
        <v>304</v>
      </c>
      <c r="M20" s="5" t="s">
        <v>306</v>
      </c>
      <c r="N20" s="5" t="s">
        <v>304</v>
      </c>
      <c r="O20" s="5" t="s">
        <v>307</v>
      </c>
      <c r="P20" s="5" t="s">
        <v>304</v>
      </c>
      <c r="Q20" s="5" t="s">
        <v>301</v>
      </c>
      <c r="R20" s="5" t="s">
        <v>386</v>
      </c>
      <c r="S20" s="5" t="s">
        <v>307</v>
      </c>
      <c r="T20" s="5" t="s">
        <v>334</v>
      </c>
      <c r="U20" s="5" t="s">
        <v>304</v>
      </c>
      <c r="V20" s="5" t="s">
        <v>304</v>
      </c>
      <c r="W20" s="5" t="s">
        <v>304</v>
      </c>
      <c r="X20" s="5" t="s">
        <v>307</v>
      </c>
      <c r="Y20" s="5" t="s">
        <v>304</v>
      </c>
      <c r="Z20" s="5" t="s">
        <v>304</v>
      </c>
      <c r="AA20" s="5" t="s">
        <v>304</v>
      </c>
      <c r="AB20" s="5" t="s">
        <v>304</v>
      </c>
      <c r="AC20" s="5" t="s">
        <v>327</v>
      </c>
      <c r="AD20" s="5" t="s">
        <v>307</v>
      </c>
      <c r="AE20" s="5">
        <v>0</v>
      </c>
      <c r="AF20" s="5" t="s">
        <v>307</v>
      </c>
      <c r="AG20" s="5" t="s">
        <v>307</v>
      </c>
      <c r="AH20" s="5" t="s">
        <v>307</v>
      </c>
      <c r="AI20" s="5" t="s">
        <v>387</v>
      </c>
    </row>
    <row r="21" spans="1:35" ht="41.25" customHeight="1">
      <c r="A21" s="5">
        <v>19</v>
      </c>
      <c r="B21" s="5" t="s">
        <v>297</v>
      </c>
      <c r="C21" s="5" t="s">
        <v>388</v>
      </c>
      <c r="D21" s="5" t="s">
        <v>299</v>
      </c>
      <c r="E21" s="5">
        <v>33</v>
      </c>
      <c r="F21" s="5" t="s">
        <v>300</v>
      </c>
      <c r="G21" s="5" t="s">
        <v>301</v>
      </c>
      <c r="H21" s="5" t="s">
        <v>310</v>
      </c>
      <c r="I21" s="5" t="s">
        <v>303</v>
      </c>
      <c r="J21" s="5" t="s">
        <v>330</v>
      </c>
      <c r="K21" s="5" t="s">
        <v>301</v>
      </c>
      <c r="L21" s="5" t="s">
        <v>304</v>
      </c>
      <c r="M21" s="5" t="s">
        <v>306</v>
      </c>
      <c r="N21" s="5" t="s">
        <v>304</v>
      </c>
      <c r="O21" s="5" t="s">
        <v>307</v>
      </c>
      <c r="P21" s="5" t="s">
        <v>304</v>
      </c>
      <c r="Q21" s="5" t="s">
        <v>301</v>
      </c>
      <c r="R21" s="5" t="s">
        <v>389</v>
      </c>
      <c r="S21" s="5" t="s">
        <v>307</v>
      </c>
      <c r="T21" s="5" t="s">
        <v>334</v>
      </c>
      <c r="U21" s="5" t="s">
        <v>304</v>
      </c>
      <c r="V21" s="5" t="s">
        <v>304</v>
      </c>
      <c r="W21" s="5" t="s">
        <v>304</v>
      </c>
      <c r="X21" s="5" t="s">
        <v>307</v>
      </c>
      <c r="Y21" s="5" t="s">
        <v>304</v>
      </c>
      <c r="Z21" s="5" t="s">
        <v>304</v>
      </c>
      <c r="AA21" s="5" t="s">
        <v>304</v>
      </c>
      <c r="AB21" s="5" t="s">
        <v>390</v>
      </c>
      <c r="AC21" s="5" t="s">
        <v>308</v>
      </c>
      <c r="AD21" s="5" t="s">
        <v>307</v>
      </c>
      <c r="AE21" s="5">
        <v>0</v>
      </c>
      <c r="AF21" s="5" t="s">
        <v>308</v>
      </c>
      <c r="AG21" s="5" t="s">
        <v>308</v>
      </c>
      <c r="AH21" s="5" t="s">
        <v>308</v>
      </c>
      <c r="AI21" s="5"/>
    </row>
    <row r="22" spans="1:35" ht="54.75" customHeight="1">
      <c r="A22" s="5">
        <v>20</v>
      </c>
      <c r="B22" s="5" t="s">
        <v>297</v>
      </c>
      <c r="C22" s="5" t="s">
        <v>391</v>
      </c>
      <c r="D22" s="5" t="s">
        <v>299</v>
      </c>
      <c r="E22" s="5">
        <v>38</v>
      </c>
      <c r="F22" s="5" t="s">
        <v>300</v>
      </c>
      <c r="G22" s="5" t="s">
        <v>301</v>
      </c>
      <c r="H22" s="5" t="s">
        <v>310</v>
      </c>
      <c r="I22" s="5" t="s">
        <v>392</v>
      </c>
      <c r="J22" s="5" t="s">
        <v>328</v>
      </c>
      <c r="K22" s="5" t="s">
        <v>301</v>
      </c>
      <c r="L22" s="5" t="s">
        <v>304</v>
      </c>
      <c r="M22" s="5" t="s">
        <v>306</v>
      </c>
      <c r="N22" s="5" t="s">
        <v>304</v>
      </c>
      <c r="O22" s="5" t="s">
        <v>307</v>
      </c>
      <c r="P22" s="5" t="s">
        <v>304</v>
      </c>
      <c r="Q22" s="5" t="s">
        <v>301</v>
      </c>
      <c r="R22" s="5" t="s">
        <v>393</v>
      </c>
      <c r="S22" s="5" t="s">
        <v>307</v>
      </c>
      <c r="T22" s="5" t="s">
        <v>334</v>
      </c>
      <c r="U22" s="5" t="s">
        <v>304</v>
      </c>
      <c r="V22" s="5" t="s">
        <v>304</v>
      </c>
      <c r="W22" s="5" t="s">
        <v>304</v>
      </c>
      <c r="X22" s="5" t="s">
        <v>307</v>
      </c>
      <c r="Y22" s="5" t="s">
        <v>304</v>
      </c>
      <c r="Z22" s="5" t="s">
        <v>304</v>
      </c>
      <c r="AA22" s="5" t="s">
        <v>304</v>
      </c>
      <c r="AB22" s="5" t="s">
        <v>394</v>
      </c>
      <c r="AC22" s="5" t="s">
        <v>327</v>
      </c>
      <c r="AD22" s="5" t="s">
        <v>307</v>
      </c>
      <c r="AE22" s="5" t="s">
        <v>357</v>
      </c>
      <c r="AF22" s="5" t="s">
        <v>307</v>
      </c>
      <c r="AG22" s="5" t="s">
        <v>307</v>
      </c>
      <c r="AH22" s="5" t="s">
        <v>308</v>
      </c>
      <c r="AI22" s="5"/>
    </row>
    <row r="23" spans="1:35" ht="15" customHeight="1">
      <c r="A23" s="5">
        <v>21</v>
      </c>
      <c r="B23" s="5" t="s">
        <v>297</v>
      </c>
      <c r="C23" s="5" t="s">
        <v>342</v>
      </c>
      <c r="D23" s="5" t="s">
        <v>299</v>
      </c>
      <c r="E23" s="5">
        <v>35</v>
      </c>
      <c r="F23" s="5" t="s">
        <v>300</v>
      </c>
      <c r="G23" s="5" t="s">
        <v>301</v>
      </c>
      <c r="H23" s="5" t="s">
        <v>328</v>
      </c>
      <c r="I23" s="5" t="s">
        <v>330</v>
      </c>
      <c r="J23" s="5" t="s">
        <v>304</v>
      </c>
      <c r="K23" s="5" t="s">
        <v>301</v>
      </c>
      <c r="L23" s="5" t="s">
        <v>304</v>
      </c>
      <c r="M23" s="5" t="s">
        <v>306</v>
      </c>
      <c r="N23" s="5" t="s">
        <v>304</v>
      </c>
      <c r="O23" s="5" t="s">
        <v>307</v>
      </c>
      <c r="P23" s="5" t="s">
        <v>304</v>
      </c>
      <c r="Q23" s="5" t="s">
        <v>301</v>
      </c>
      <c r="R23" s="5" t="s">
        <v>304</v>
      </c>
      <c r="S23" s="5" t="s">
        <v>307</v>
      </c>
      <c r="T23" s="5" t="s">
        <v>395</v>
      </c>
      <c r="U23" s="5" t="s">
        <v>304</v>
      </c>
      <c r="V23" s="5" t="s">
        <v>304</v>
      </c>
      <c r="W23" s="5" t="s">
        <v>304</v>
      </c>
      <c r="X23" s="5" t="s">
        <v>307</v>
      </c>
      <c r="Y23" s="5" t="s">
        <v>304</v>
      </c>
      <c r="Z23" s="5" t="s">
        <v>304</v>
      </c>
      <c r="AA23" s="5" t="s">
        <v>304</v>
      </c>
      <c r="AB23" s="5" t="s">
        <v>304</v>
      </c>
      <c r="AC23" s="5" t="s">
        <v>327</v>
      </c>
      <c r="AD23" s="5" t="s">
        <v>307</v>
      </c>
      <c r="AE23" s="5">
        <v>0</v>
      </c>
      <c r="AF23" s="5" t="s">
        <v>307</v>
      </c>
      <c r="AG23" s="5" t="s">
        <v>307</v>
      </c>
      <c r="AH23" s="5" t="s">
        <v>307</v>
      </c>
      <c r="AI23" s="5"/>
    </row>
    <row r="24" spans="1:35" ht="41.25" customHeight="1">
      <c r="A24" s="5">
        <v>22</v>
      </c>
      <c r="B24" s="5" t="s">
        <v>297</v>
      </c>
      <c r="C24" s="5" t="s">
        <v>396</v>
      </c>
      <c r="D24" s="5" t="s">
        <v>337</v>
      </c>
      <c r="E24" s="5">
        <v>20</v>
      </c>
      <c r="F24" s="5" t="s">
        <v>300</v>
      </c>
      <c r="G24" s="5" t="s">
        <v>301</v>
      </c>
      <c r="H24" s="5" t="s">
        <v>310</v>
      </c>
      <c r="I24" s="5" t="s">
        <v>304</v>
      </c>
      <c r="J24" s="5" t="s">
        <v>328</v>
      </c>
      <c r="K24" s="5" t="s">
        <v>307</v>
      </c>
      <c r="L24" s="5" t="s">
        <v>397</v>
      </c>
      <c r="M24" s="5" t="s">
        <v>313</v>
      </c>
      <c r="N24" s="5" t="s">
        <v>304</v>
      </c>
      <c r="O24" s="5" t="s">
        <v>307</v>
      </c>
      <c r="P24" s="5" t="s">
        <v>304</v>
      </c>
      <c r="Q24" s="5" t="s">
        <v>301</v>
      </c>
      <c r="R24" s="5" t="s">
        <v>398</v>
      </c>
      <c r="S24" s="5" t="s">
        <v>301</v>
      </c>
      <c r="T24" s="5" t="s">
        <v>399</v>
      </c>
      <c r="U24" s="5" t="s">
        <v>400</v>
      </c>
      <c r="V24" s="5" t="s">
        <v>401</v>
      </c>
      <c r="W24" s="5" t="s">
        <v>304</v>
      </c>
      <c r="X24" s="5" t="s">
        <v>307</v>
      </c>
      <c r="Y24" s="5" t="s">
        <v>304</v>
      </c>
      <c r="Z24" s="5" t="s">
        <v>304</v>
      </c>
      <c r="AA24" s="5" t="s">
        <v>304</v>
      </c>
      <c r="AB24" s="5" t="s">
        <v>304</v>
      </c>
      <c r="AC24" s="5" t="s">
        <v>327</v>
      </c>
      <c r="AD24" s="5" t="s">
        <v>301</v>
      </c>
      <c r="AE24" s="5">
        <v>5</v>
      </c>
      <c r="AF24" s="5" t="s">
        <v>307</v>
      </c>
      <c r="AG24" s="5" t="s">
        <v>307</v>
      </c>
      <c r="AH24" s="5" t="s">
        <v>307</v>
      </c>
      <c r="AI24" s="5"/>
    </row>
    <row r="25" spans="1:35" ht="15" customHeight="1">
      <c r="A25" s="5">
        <v>23</v>
      </c>
      <c r="B25" s="5" t="s">
        <v>297</v>
      </c>
      <c r="C25" s="5" t="s">
        <v>396</v>
      </c>
      <c r="D25" s="5" t="s">
        <v>337</v>
      </c>
      <c r="E25" s="5">
        <v>50</v>
      </c>
      <c r="F25" s="5" t="s">
        <v>300</v>
      </c>
      <c r="G25" s="5" t="s">
        <v>301</v>
      </c>
      <c r="H25" s="5" t="s">
        <v>310</v>
      </c>
      <c r="I25" s="5" t="s">
        <v>303</v>
      </c>
      <c r="J25" s="5" t="s">
        <v>328</v>
      </c>
      <c r="K25" s="5" t="s">
        <v>301</v>
      </c>
      <c r="L25" s="5" t="s">
        <v>304</v>
      </c>
      <c r="M25" s="5" t="s">
        <v>313</v>
      </c>
      <c r="N25" s="5" t="s">
        <v>304</v>
      </c>
      <c r="O25" s="5" t="s">
        <v>307</v>
      </c>
      <c r="P25" s="5" t="s">
        <v>304</v>
      </c>
      <c r="Q25" s="5" t="s">
        <v>301</v>
      </c>
      <c r="R25" s="5" t="s">
        <v>304</v>
      </c>
      <c r="S25" s="5" t="s">
        <v>301</v>
      </c>
      <c r="T25" s="5" t="s">
        <v>402</v>
      </c>
      <c r="U25" s="5" t="s">
        <v>304</v>
      </c>
      <c r="V25" s="5" t="s">
        <v>304</v>
      </c>
      <c r="W25" s="5" t="s">
        <v>304</v>
      </c>
      <c r="X25" s="5" t="s">
        <v>307</v>
      </c>
      <c r="Y25" s="5" t="s">
        <v>304</v>
      </c>
      <c r="Z25" s="5" t="s">
        <v>304</v>
      </c>
      <c r="AA25" s="5" t="s">
        <v>304</v>
      </c>
      <c r="AB25" s="5" t="s">
        <v>304</v>
      </c>
      <c r="AC25" s="5" t="s">
        <v>308</v>
      </c>
      <c r="AD25" s="5" t="s">
        <v>307</v>
      </c>
      <c r="AE25" s="5">
        <v>0</v>
      </c>
      <c r="AF25" s="5" t="s">
        <v>307</v>
      </c>
      <c r="AG25" s="5" t="s">
        <v>307</v>
      </c>
      <c r="AH25" s="5" t="s">
        <v>307</v>
      </c>
      <c r="AI25" s="5"/>
    </row>
    <row r="26" spans="1:35" ht="41.25" customHeight="1">
      <c r="A26" s="5">
        <v>24</v>
      </c>
      <c r="B26" s="5" t="s">
        <v>297</v>
      </c>
      <c r="C26" s="5" t="s">
        <v>403</v>
      </c>
      <c r="D26" s="5" t="s">
        <v>299</v>
      </c>
      <c r="E26" s="5">
        <v>40</v>
      </c>
      <c r="F26" s="5" t="s">
        <v>300</v>
      </c>
      <c r="G26" s="5" t="s">
        <v>301</v>
      </c>
      <c r="H26" s="5" t="s">
        <v>404</v>
      </c>
      <c r="I26" s="5" t="s">
        <v>330</v>
      </c>
      <c r="J26" s="5" t="s">
        <v>304</v>
      </c>
      <c r="K26" s="5" t="s">
        <v>301</v>
      </c>
      <c r="L26" s="5" t="s">
        <v>405</v>
      </c>
      <c r="M26" s="5" t="s">
        <v>306</v>
      </c>
      <c r="N26" s="5" t="s">
        <v>406</v>
      </c>
      <c r="O26" s="5" t="s">
        <v>407</v>
      </c>
      <c r="P26" s="5" t="s">
        <v>304</v>
      </c>
      <c r="Q26" s="5" t="s">
        <v>301</v>
      </c>
      <c r="R26" s="5" t="s">
        <v>408</v>
      </c>
      <c r="S26" s="5" t="s">
        <v>301</v>
      </c>
      <c r="T26" s="5" t="s">
        <v>409</v>
      </c>
      <c r="U26" s="5" t="s">
        <v>334</v>
      </c>
      <c r="V26" s="5" t="s">
        <v>304</v>
      </c>
      <c r="W26" s="5" t="s">
        <v>304</v>
      </c>
      <c r="X26" s="5" t="s">
        <v>307</v>
      </c>
      <c r="Y26" s="5" t="s">
        <v>304</v>
      </c>
      <c r="Z26" s="5" t="s">
        <v>304</v>
      </c>
      <c r="AA26" s="5" t="s">
        <v>304</v>
      </c>
      <c r="AB26" s="5" t="s">
        <v>410</v>
      </c>
      <c r="AC26" s="5" t="s">
        <v>327</v>
      </c>
      <c r="AD26" s="5" t="s">
        <v>307</v>
      </c>
      <c r="AE26" s="5">
        <v>0</v>
      </c>
      <c r="AF26" s="5" t="s">
        <v>308</v>
      </c>
      <c r="AG26" s="5" t="s">
        <v>308</v>
      </c>
      <c r="AH26" s="5" t="s">
        <v>411</v>
      </c>
      <c r="AI26" s="5" t="s">
        <v>412</v>
      </c>
    </row>
    <row r="27" spans="1:35" ht="54.75" customHeight="1">
      <c r="A27" s="5">
        <v>25</v>
      </c>
      <c r="B27" s="5" t="s">
        <v>297</v>
      </c>
      <c r="C27" s="5" t="s">
        <v>413</v>
      </c>
      <c r="D27" s="5" t="s">
        <v>337</v>
      </c>
      <c r="E27" s="5">
        <v>20</v>
      </c>
      <c r="F27" s="5" t="s">
        <v>300</v>
      </c>
      <c r="G27" s="5" t="s">
        <v>301</v>
      </c>
      <c r="H27" s="5" t="s">
        <v>310</v>
      </c>
      <c r="I27" s="5" t="s">
        <v>319</v>
      </c>
      <c r="J27" s="5" t="s">
        <v>311</v>
      </c>
      <c r="K27" s="5" t="s">
        <v>307</v>
      </c>
      <c r="L27" s="5" t="s">
        <v>414</v>
      </c>
      <c r="M27" s="5" t="s">
        <v>313</v>
      </c>
      <c r="N27" s="5" t="s">
        <v>304</v>
      </c>
      <c r="O27" s="5" t="s">
        <v>307</v>
      </c>
      <c r="P27" s="5" t="s">
        <v>304</v>
      </c>
      <c r="Q27" s="5" t="s">
        <v>301</v>
      </c>
      <c r="R27" s="5" t="s">
        <v>415</v>
      </c>
      <c r="S27" s="5" t="s">
        <v>301</v>
      </c>
      <c r="T27" s="5" t="s">
        <v>334</v>
      </c>
      <c r="U27" s="5" t="s">
        <v>304</v>
      </c>
      <c r="V27" s="5" t="s">
        <v>304</v>
      </c>
      <c r="W27" s="5" t="s">
        <v>304</v>
      </c>
      <c r="X27" s="5" t="s">
        <v>307</v>
      </c>
      <c r="Y27" s="5" t="s">
        <v>304</v>
      </c>
      <c r="Z27" s="5" t="s">
        <v>304</v>
      </c>
      <c r="AA27" s="5" t="s">
        <v>304</v>
      </c>
      <c r="AB27" s="5" t="s">
        <v>416</v>
      </c>
      <c r="AC27" s="5" t="s">
        <v>327</v>
      </c>
      <c r="AD27" s="5" t="s">
        <v>301</v>
      </c>
      <c r="AE27" s="5">
        <v>3</v>
      </c>
      <c r="AF27" s="5" t="s">
        <v>307</v>
      </c>
      <c r="AG27" s="5" t="s">
        <v>307</v>
      </c>
      <c r="AH27" s="5" t="s">
        <v>417</v>
      </c>
      <c r="AI27" s="5"/>
    </row>
    <row r="28" spans="1:35" ht="41.25" customHeight="1">
      <c r="A28" s="5">
        <v>26</v>
      </c>
      <c r="B28" s="5" t="s">
        <v>297</v>
      </c>
      <c r="C28" s="5" t="s">
        <v>365</v>
      </c>
      <c r="D28" s="5" t="s">
        <v>299</v>
      </c>
      <c r="E28" s="5">
        <v>34</v>
      </c>
      <c r="F28" s="5" t="s">
        <v>300</v>
      </c>
      <c r="G28" s="5" t="s">
        <v>301</v>
      </c>
      <c r="H28" s="5" t="s">
        <v>418</v>
      </c>
      <c r="I28" s="5" t="s">
        <v>330</v>
      </c>
      <c r="J28" s="5" t="s">
        <v>304</v>
      </c>
      <c r="K28" s="5" t="s">
        <v>301</v>
      </c>
      <c r="L28" s="5" t="s">
        <v>419</v>
      </c>
      <c r="M28" s="5" t="s">
        <v>306</v>
      </c>
      <c r="N28" s="5" t="s">
        <v>304</v>
      </c>
      <c r="O28" s="5" t="s">
        <v>307</v>
      </c>
      <c r="P28" s="5" t="s">
        <v>304</v>
      </c>
      <c r="Q28" s="5" t="s">
        <v>301</v>
      </c>
      <c r="R28" s="5" t="s">
        <v>304</v>
      </c>
      <c r="S28" s="5" t="s">
        <v>301</v>
      </c>
      <c r="T28" s="5" t="s">
        <v>420</v>
      </c>
      <c r="U28" s="5" t="s">
        <v>304</v>
      </c>
      <c r="V28" s="5" t="s">
        <v>304</v>
      </c>
      <c r="W28" s="5" t="s">
        <v>304</v>
      </c>
      <c r="X28" s="5" t="s">
        <v>307</v>
      </c>
      <c r="Y28" s="5" t="s">
        <v>304</v>
      </c>
      <c r="Z28" s="5" t="s">
        <v>304</v>
      </c>
      <c r="AA28" s="5" t="s">
        <v>304</v>
      </c>
      <c r="AB28" s="5" t="s">
        <v>304</v>
      </c>
      <c r="AC28" s="5" t="s">
        <v>327</v>
      </c>
      <c r="AD28" s="5" t="s">
        <v>307</v>
      </c>
      <c r="AE28" s="5">
        <v>0</v>
      </c>
      <c r="AF28" s="5" t="s">
        <v>411</v>
      </c>
      <c r="AG28" s="5" t="s">
        <v>411</v>
      </c>
      <c r="AH28" s="5" t="s">
        <v>411</v>
      </c>
      <c r="AI28" s="5" t="s">
        <v>421</v>
      </c>
    </row>
    <row r="29" spans="1:35" ht="27.75" customHeight="1">
      <c r="A29" s="5">
        <v>27</v>
      </c>
      <c r="B29" s="5" t="s">
        <v>297</v>
      </c>
      <c r="C29" s="5" t="s">
        <v>342</v>
      </c>
      <c r="D29" s="5" t="s">
        <v>299</v>
      </c>
      <c r="E29" s="5">
        <v>35</v>
      </c>
      <c r="F29" s="5" t="s">
        <v>300</v>
      </c>
      <c r="G29" s="5" t="s">
        <v>301</v>
      </c>
      <c r="H29" s="5" t="s">
        <v>422</v>
      </c>
      <c r="I29" s="5" t="s">
        <v>310</v>
      </c>
      <c r="J29" s="5" t="s">
        <v>311</v>
      </c>
      <c r="K29" s="5" t="s">
        <v>301</v>
      </c>
      <c r="L29" s="5" t="s">
        <v>304</v>
      </c>
      <c r="M29" s="5" t="s">
        <v>306</v>
      </c>
      <c r="N29" s="5" t="s">
        <v>304</v>
      </c>
      <c r="O29" s="5" t="s">
        <v>307</v>
      </c>
      <c r="P29" s="5" t="s">
        <v>304</v>
      </c>
      <c r="Q29" s="5" t="s">
        <v>301</v>
      </c>
      <c r="R29" s="5" t="s">
        <v>423</v>
      </c>
      <c r="S29" s="5" t="s">
        <v>301</v>
      </c>
      <c r="T29" s="5" t="s">
        <v>424</v>
      </c>
      <c r="U29" s="5" t="s">
        <v>425</v>
      </c>
      <c r="V29" s="5" t="s">
        <v>304</v>
      </c>
      <c r="W29" s="5" t="s">
        <v>304</v>
      </c>
      <c r="X29" s="5" t="s">
        <v>307</v>
      </c>
      <c r="Y29" s="5" t="s">
        <v>304</v>
      </c>
      <c r="Z29" s="5" t="s">
        <v>304</v>
      </c>
      <c r="AA29" s="5" t="s">
        <v>304</v>
      </c>
      <c r="AB29" s="5" t="s">
        <v>426</v>
      </c>
      <c r="AC29" s="5" t="s">
        <v>327</v>
      </c>
      <c r="AD29" s="5" t="s">
        <v>301</v>
      </c>
      <c r="AE29" s="5" t="s">
        <v>427</v>
      </c>
      <c r="AF29" s="5" t="s">
        <v>301</v>
      </c>
      <c r="AG29" s="5" t="s">
        <v>307</v>
      </c>
      <c r="AH29" s="5" t="s">
        <v>379</v>
      </c>
      <c r="AI29" s="5"/>
    </row>
    <row r="30" spans="1:35" ht="54.75" customHeight="1">
      <c r="A30" s="5">
        <v>28</v>
      </c>
      <c r="B30" s="5" t="s">
        <v>297</v>
      </c>
      <c r="C30" s="5" t="s">
        <v>413</v>
      </c>
      <c r="D30" s="5" t="s">
        <v>337</v>
      </c>
      <c r="E30" s="5">
        <v>31</v>
      </c>
      <c r="F30" s="5" t="s">
        <v>300</v>
      </c>
      <c r="G30" s="5" t="s">
        <v>301</v>
      </c>
      <c r="H30" s="5" t="s">
        <v>428</v>
      </c>
      <c r="I30" s="5" t="s">
        <v>310</v>
      </c>
      <c r="J30" s="5" t="s">
        <v>303</v>
      </c>
      <c r="K30" s="5" t="s">
        <v>301</v>
      </c>
      <c r="L30" s="5" t="s">
        <v>304</v>
      </c>
      <c r="M30" s="5" t="s">
        <v>313</v>
      </c>
      <c r="N30" s="5" t="s">
        <v>304</v>
      </c>
      <c r="O30" s="5" t="s">
        <v>307</v>
      </c>
      <c r="P30" s="5" t="s">
        <v>304</v>
      </c>
      <c r="Q30" s="5" t="s">
        <v>301</v>
      </c>
      <c r="R30" s="5" t="s">
        <v>429</v>
      </c>
      <c r="S30" s="5" t="s">
        <v>301</v>
      </c>
      <c r="T30" s="5" t="s">
        <v>334</v>
      </c>
      <c r="U30" s="5" t="s">
        <v>430</v>
      </c>
      <c r="V30" s="5" t="s">
        <v>304</v>
      </c>
      <c r="W30" s="5" t="s">
        <v>304</v>
      </c>
      <c r="X30" s="5" t="s">
        <v>307</v>
      </c>
      <c r="Y30" s="5" t="s">
        <v>304</v>
      </c>
      <c r="Z30" s="5" t="s">
        <v>304</v>
      </c>
      <c r="AA30" s="5" t="s">
        <v>304</v>
      </c>
      <c r="AB30" s="5" t="s">
        <v>304</v>
      </c>
      <c r="AC30" s="5" t="s">
        <v>327</v>
      </c>
      <c r="AD30" s="5" t="s">
        <v>307</v>
      </c>
      <c r="AE30" s="5">
        <v>5</v>
      </c>
      <c r="AF30" s="5" t="s">
        <v>307</v>
      </c>
      <c r="AG30" s="5" t="s">
        <v>307</v>
      </c>
      <c r="AH30" s="5" t="s">
        <v>379</v>
      </c>
      <c r="AI30" s="5"/>
    </row>
    <row r="31" spans="1:35" ht="15" customHeight="1">
      <c r="A31" s="5">
        <v>29</v>
      </c>
      <c r="B31" s="5" t="s">
        <v>297</v>
      </c>
      <c r="C31" s="5" t="s">
        <v>396</v>
      </c>
      <c r="D31" s="5" t="s">
        <v>337</v>
      </c>
      <c r="E31" s="5">
        <v>23</v>
      </c>
      <c r="F31" s="5" t="s">
        <v>300</v>
      </c>
      <c r="G31" s="5" t="s">
        <v>301</v>
      </c>
      <c r="H31" s="5" t="s">
        <v>431</v>
      </c>
      <c r="I31" s="5" t="s">
        <v>310</v>
      </c>
      <c r="J31" s="5" t="s">
        <v>304</v>
      </c>
      <c r="K31" s="5" t="s">
        <v>307</v>
      </c>
      <c r="L31" s="5" t="s">
        <v>432</v>
      </c>
      <c r="M31" s="5" t="s">
        <v>313</v>
      </c>
      <c r="N31" s="5" t="s">
        <v>433</v>
      </c>
      <c r="O31" s="5" t="s">
        <v>307</v>
      </c>
      <c r="P31" s="5" t="s">
        <v>304</v>
      </c>
      <c r="Q31" s="5" t="s">
        <v>301</v>
      </c>
      <c r="R31" s="5" t="s">
        <v>434</v>
      </c>
      <c r="S31" s="5" t="s">
        <v>301</v>
      </c>
      <c r="T31" s="5" t="s">
        <v>304</v>
      </c>
      <c r="U31" s="5" t="s">
        <v>304</v>
      </c>
      <c r="V31" s="5" t="s">
        <v>304</v>
      </c>
      <c r="W31" s="5" t="s">
        <v>304</v>
      </c>
      <c r="X31" s="5" t="s">
        <v>307</v>
      </c>
      <c r="Y31" s="5" t="s">
        <v>304</v>
      </c>
      <c r="Z31" s="5" t="s">
        <v>304</v>
      </c>
      <c r="AA31" s="5" t="s">
        <v>304</v>
      </c>
      <c r="AB31" s="5" t="s">
        <v>304</v>
      </c>
      <c r="AC31" s="5" t="s">
        <v>327</v>
      </c>
      <c r="AD31" s="5" t="s">
        <v>411</v>
      </c>
      <c r="AE31" s="5">
        <v>0</v>
      </c>
      <c r="AF31" s="5" t="s">
        <v>307</v>
      </c>
      <c r="AG31" s="5" t="s">
        <v>307</v>
      </c>
      <c r="AH31" s="5" t="s">
        <v>307</v>
      </c>
      <c r="AI31" s="5"/>
    </row>
    <row r="32" spans="1:35" ht="54.75" customHeight="1">
      <c r="A32" s="5">
        <v>30</v>
      </c>
      <c r="B32" s="5" t="s">
        <v>297</v>
      </c>
      <c r="C32" s="5" t="s">
        <v>342</v>
      </c>
      <c r="D32" s="5" t="s">
        <v>299</v>
      </c>
      <c r="E32" s="5">
        <v>32</v>
      </c>
      <c r="F32" s="5" t="s">
        <v>300</v>
      </c>
      <c r="G32" s="5" t="s">
        <v>301</v>
      </c>
      <c r="H32" s="5" t="s">
        <v>310</v>
      </c>
      <c r="I32" s="5" t="s">
        <v>328</v>
      </c>
      <c r="J32" s="5" t="s">
        <v>330</v>
      </c>
      <c r="K32" s="5" t="s">
        <v>307</v>
      </c>
      <c r="L32" s="5" t="s">
        <v>435</v>
      </c>
      <c r="M32" s="5" t="s">
        <v>313</v>
      </c>
      <c r="N32" s="5" t="s">
        <v>304</v>
      </c>
      <c r="O32" s="5" t="s">
        <v>307</v>
      </c>
      <c r="P32" s="5" t="s">
        <v>304</v>
      </c>
      <c r="Q32" s="5" t="s">
        <v>307</v>
      </c>
      <c r="R32" s="5" t="s">
        <v>436</v>
      </c>
      <c r="S32" s="5" t="s">
        <v>307</v>
      </c>
      <c r="T32" s="5" t="s">
        <v>334</v>
      </c>
      <c r="U32" s="5" t="s">
        <v>437</v>
      </c>
      <c r="V32" s="5" t="s">
        <v>304</v>
      </c>
      <c r="W32" s="5" t="s">
        <v>304</v>
      </c>
      <c r="X32" s="5" t="s">
        <v>307</v>
      </c>
      <c r="Y32" s="5" t="s">
        <v>304</v>
      </c>
      <c r="Z32" s="5" t="s">
        <v>304</v>
      </c>
      <c r="AA32" s="5" t="s">
        <v>304</v>
      </c>
      <c r="AB32" s="5" t="s">
        <v>304</v>
      </c>
      <c r="AC32" s="5" t="s">
        <v>327</v>
      </c>
      <c r="AD32" s="5" t="s">
        <v>307</v>
      </c>
      <c r="AE32" s="5">
        <v>1</v>
      </c>
      <c r="AF32" s="5" t="s">
        <v>307</v>
      </c>
      <c r="AG32" s="5" t="s">
        <v>307</v>
      </c>
      <c r="AH32" s="5" t="s">
        <v>438</v>
      </c>
      <c r="AI32" s="5"/>
    </row>
    <row r="33" spans="1:35" ht="41.25" customHeight="1">
      <c r="A33" s="5">
        <v>31</v>
      </c>
      <c r="B33" s="5" t="s">
        <v>297</v>
      </c>
      <c r="C33" s="5" t="s">
        <v>342</v>
      </c>
      <c r="D33" s="5" t="s">
        <v>299</v>
      </c>
      <c r="E33" s="5">
        <v>28</v>
      </c>
      <c r="F33" s="5" t="s">
        <v>300</v>
      </c>
      <c r="G33" s="5" t="s">
        <v>301</v>
      </c>
      <c r="H33" s="5" t="s">
        <v>439</v>
      </c>
      <c r="I33" s="5" t="s">
        <v>328</v>
      </c>
      <c r="J33" s="5" t="s">
        <v>330</v>
      </c>
      <c r="K33" s="5" t="s">
        <v>301</v>
      </c>
      <c r="L33" s="5" t="s">
        <v>304</v>
      </c>
      <c r="M33" s="5" t="s">
        <v>306</v>
      </c>
      <c r="N33" s="5" t="s">
        <v>304</v>
      </c>
      <c r="O33" s="5" t="s">
        <v>307</v>
      </c>
      <c r="P33" s="5" t="s">
        <v>304</v>
      </c>
      <c r="Q33" s="5" t="s">
        <v>301</v>
      </c>
      <c r="R33" s="5" t="s">
        <v>440</v>
      </c>
      <c r="S33" s="5" t="s">
        <v>307</v>
      </c>
      <c r="T33" s="5" t="s">
        <v>334</v>
      </c>
      <c r="U33" s="5" t="s">
        <v>441</v>
      </c>
      <c r="V33" s="5" t="s">
        <v>304</v>
      </c>
      <c r="W33" s="5" t="s">
        <v>304</v>
      </c>
      <c r="X33" s="5" t="s">
        <v>307</v>
      </c>
      <c r="Y33" s="5" t="s">
        <v>304</v>
      </c>
      <c r="Z33" s="5" t="s">
        <v>304</v>
      </c>
      <c r="AA33" s="5" t="s">
        <v>304</v>
      </c>
      <c r="AB33" s="5" t="s">
        <v>304</v>
      </c>
      <c r="AC33" s="5" t="s">
        <v>327</v>
      </c>
      <c r="AD33" s="5" t="s">
        <v>307</v>
      </c>
      <c r="AE33" s="5">
        <v>0</v>
      </c>
      <c r="AF33" s="5" t="s">
        <v>307</v>
      </c>
      <c r="AG33" s="5" t="s">
        <v>307</v>
      </c>
      <c r="AH33" s="5" t="s">
        <v>442</v>
      </c>
      <c r="AI33" s="5"/>
    </row>
    <row r="34" spans="1:35" ht="27.75" customHeight="1">
      <c r="A34" s="5">
        <v>32</v>
      </c>
      <c r="B34" s="5" t="s">
        <v>297</v>
      </c>
      <c r="C34" s="5" t="s">
        <v>443</v>
      </c>
      <c r="D34" s="5" t="s">
        <v>337</v>
      </c>
      <c r="E34" s="5">
        <v>59</v>
      </c>
      <c r="F34" s="5" t="s">
        <v>300</v>
      </c>
      <c r="G34" s="5" t="s">
        <v>301</v>
      </c>
      <c r="H34" s="5" t="s">
        <v>444</v>
      </c>
      <c r="I34" s="5" t="s">
        <v>445</v>
      </c>
      <c r="J34" s="5" t="s">
        <v>304</v>
      </c>
      <c r="K34" s="5" t="s">
        <v>301</v>
      </c>
      <c r="L34" s="5" t="s">
        <v>304</v>
      </c>
      <c r="M34" s="5" t="s">
        <v>313</v>
      </c>
      <c r="N34" s="5" t="s">
        <v>304</v>
      </c>
      <c r="O34" s="5" t="s">
        <v>307</v>
      </c>
      <c r="P34" s="5" t="s">
        <v>304</v>
      </c>
      <c r="Q34" s="5" t="s">
        <v>301</v>
      </c>
      <c r="R34" s="5" t="s">
        <v>446</v>
      </c>
      <c r="S34" s="5" t="s">
        <v>301</v>
      </c>
      <c r="T34" s="5" t="s">
        <v>334</v>
      </c>
      <c r="U34" s="5" t="s">
        <v>304</v>
      </c>
      <c r="V34" s="5" t="s">
        <v>304</v>
      </c>
      <c r="W34" s="5" t="s">
        <v>304</v>
      </c>
      <c r="X34" s="5" t="s">
        <v>301</v>
      </c>
      <c r="Y34" s="5" t="s">
        <v>304</v>
      </c>
      <c r="Z34" s="5" t="s">
        <v>304</v>
      </c>
      <c r="AA34" s="5" t="s">
        <v>304</v>
      </c>
      <c r="AB34" s="5" t="s">
        <v>447</v>
      </c>
      <c r="AC34" s="5" t="s">
        <v>327</v>
      </c>
      <c r="AD34" s="5" t="s">
        <v>301</v>
      </c>
      <c r="AE34" s="5">
        <v>0</v>
      </c>
      <c r="AF34" s="5" t="s">
        <v>307</v>
      </c>
      <c r="AG34" s="5" t="s">
        <v>307</v>
      </c>
      <c r="AH34" s="5" t="s">
        <v>411</v>
      </c>
      <c r="AI34" s="5"/>
    </row>
    <row r="35" spans="1:35" ht="27.75" customHeight="1">
      <c r="A35" s="5">
        <v>33</v>
      </c>
      <c r="B35" s="5" t="s">
        <v>297</v>
      </c>
      <c r="C35" s="5" t="s">
        <v>448</v>
      </c>
      <c r="D35" s="5" t="s">
        <v>299</v>
      </c>
      <c r="E35" s="5">
        <v>25</v>
      </c>
      <c r="F35" s="5" t="s">
        <v>300</v>
      </c>
      <c r="G35" s="5" t="s">
        <v>301</v>
      </c>
      <c r="H35" s="5" t="s">
        <v>418</v>
      </c>
      <c r="I35" s="5" t="s">
        <v>310</v>
      </c>
      <c r="J35" s="5" t="s">
        <v>330</v>
      </c>
      <c r="K35" s="5" t="s">
        <v>307</v>
      </c>
      <c r="L35" s="5" t="s">
        <v>449</v>
      </c>
      <c r="M35" s="5" t="s">
        <v>306</v>
      </c>
      <c r="N35" s="5" t="s">
        <v>304</v>
      </c>
      <c r="O35" s="5" t="s">
        <v>307</v>
      </c>
      <c r="P35" s="5" t="s">
        <v>304</v>
      </c>
      <c r="Q35" s="5" t="s">
        <v>301</v>
      </c>
      <c r="R35" s="5" t="s">
        <v>450</v>
      </c>
      <c r="S35" s="5" t="s">
        <v>307</v>
      </c>
      <c r="T35" s="5" t="s">
        <v>334</v>
      </c>
      <c r="U35" s="5" t="s">
        <v>304</v>
      </c>
      <c r="V35" s="5" t="s">
        <v>304</v>
      </c>
      <c r="W35" s="5" t="s">
        <v>304</v>
      </c>
      <c r="X35" s="5" t="s">
        <v>307</v>
      </c>
      <c r="Y35" s="5" t="s">
        <v>304</v>
      </c>
      <c r="Z35" s="5" t="s">
        <v>304</v>
      </c>
      <c r="AA35" s="5" t="s">
        <v>304</v>
      </c>
      <c r="AB35" s="5" t="s">
        <v>304</v>
      </c>
      <c r="AC35" s="5" t="s">
        <v>327</v>
      </c>
      <c r="AD35" s="5" t="s">
        <v>307</v>
      </c>
      <c r="AE35" s="5">
        <v>0</v>
      </c>
      <c r="AF35" s="5" t="s">
        <v>307</v>
      </c>
      <c r="AG35" s="5" t="s">
        <v>307</v>
      </c>
      <c r="AH35" s="5" t="s">
        <v>307</v>
      </c>
      <c r="AI35" s="5"/>
    </row>
    <row r="36" spans="1:35" ht="15" customHeight="1">
      <c r="A36" s="5">
        <v>34</v>
      </c>
      <c r="B36" s="5" t="s">
        <v>297</v>
      </c>
      <c r="C36" s="5" t="s">
        <v>448</v>
      </c>
      <c r="D36" s="5" t="s">
        <v>299</v>
      </c>
      <c r="E36" s="5">
        <v>32</v>
      </c>
      <c r="F36" s="5" t="s">
        <v>300</v>
      </c>
      <c r="G36" s="5" t="s">
        <v>301</v>
      </c>
      <c r="H36" s="5" t="s">
        <v>418</v>
      </c>
      <c r="I36" s="5" t="s">
        <v>304</v>
      </c>
      <c r="J36" s="5" t="s">
        <v>304</v>
      </c>
      <c r="K36" s="5" t="s">
        <v>307</v>
      </c>
      <c r="L36" s="5" t="s">
        <v>451</v>
      </c>
      <c r="M36" s="5" t="s">
        <v>306</v>
      </c>
      <c r="N36" s="5" t="s">
        <v>304</v>
      </c>
      <c r="O36" s="5" t="s">
        <v>307</v>
      </c>
      <c r="P36" s="5" t="s">
        <v>304</v>
      </c>
      <c r="Q36" s="5" t="s">
        <v>301</v>
      </c>
      <c r="R36" s="5" t="s">
        <v>452</v>
      </c>
      <c r="S36" s="5" t="s">
        <v>307</v>
      </c>
      <c r="T36" s="5" t="s">
        <v>334</v>
      </c>
      <c r="U36" s="5" t="s">
        <v>304</v>
      </c>
      <c r="V36" s="5" t="s">
        <v>304</v>
      </c>
      <c r="W36" s="5" t="s">
        <v>304</v>
      </c>
      <c r="X36" s="5" t="s">
        <v>307</v>
      </c>
      <c r="Y36" s="5" t="s">
        <v>304</v>
      </c>
      <c r="Z36" s="5" t="s">
        <v>304</v>
      </c>
      <c r="AA36" s="5" t="s">
        <v>304</v>
      </c>
      <c r="AB36" s="5" t="s">
        <v>304</v>
      </c>
      <c r="AC36" s="5" t="s">
        <v>327</v>
      </c>
      <c r="AD36" s="5" t="s">
        <v>307</v>
      </c>
      <c r="AE36" s="5">
        <v>0</v>
      </c>
      <c r="AF36" s="5" t="s">
        <v>307</v>
      </c>
      <c r="AG36" s="5" t="s">
        <v>307</v>
      </c>
      <c r="AH36" s="5" t="s">
        <v>411</v>
      </c>
      <c r="AI36" s="5"/>
    </row>
    <row r="37" spans="1:35" ht="41.25" customHeight="1">
      <c r="A37" s="5">
        <v>35</v>
      </c>
      <c r="B37" s="5" t="s">
        <v>297</v>
      </c>
      <c r="C37" s="5" t="s">
        <v>453</v>
      </c>
      <c r="D37" s="5" t="s">
        <v>337</v>
      </c>
      <c r="E37" s="5">
        <v>35</v>
      </c>
      <c r="F37" s="5" t="s">
        <v>300</v>
      </c>
      <c r="G37" s="5" t="s">
        <v>301</v>
      </c>
      <c r="H37" s="5" t="s">
        <v>454</v>
      </c>
      <c r="I37" s="5" t="s">
        <v>304</v>
      </c>
      <c r="J37" s="5" t="s">
        <v>304</v>
      </c>
      <c r="K37" s="5" t="s">
        <v>301</v>
      </c>
      <c r="L37" s="5" t="s">
        <v>304</v>
      </c>
      <c r="M37" s="5" t="s">
        <v>313</v>
      </c>
      <c r="N37" s="5" t="s">
        <v>304</v>
      </c>
      <c r="O37" s="5" t="s">
        <v>307</v>
      </c>
      <c r="P37" s="5" t="s">
        <v>304</v>
      </c>
      <c r="Q37" s="5" t="s">
        <v>301</v>
      </c>
      <c r="R37" s="5" t="s">
        <v>455</v>
      </c>
      <c r="S37" s="5" t="s">
        <v>301</v>
      </c>
      <c r="T37" s="5" t="s">
        <v>334</v>
      </c>
      <c r="U37" s="5" t="s">
        <v>304</v>
      </c>
      <c r="V37" s="5" t="s">
        <v>304</v>
      </c>
      <c r="W37" s="5" t="s">
        <v>304</v>
      </c>
      <c r="X37" s="5" t="s">
        <v>301</v>
      </c>
      <c r="Y37" s="5" t="s">
        <v>304</v>
      </c>
      <c r="Z37" s="5" t="s">
        <v>304</v>
      </c>
      <c r="AA37" s="5" t="s">
        <v>304</v>
      </c>
      <c r="AB37" s="5" t="s">
        <v>304</v>
      </c>
      <c r="AC37" s="5" t="s">
        <v>327</v>
      </c>
      <c r="AD37" s="5" t="s">
        <v>301</v>
      </c>
      <c r="AE37" s="5">
        <v>0</v>
      </c>
      <c r="AF37" s="5" t="s">
        <v>308</v>
      </c>
      <c r="AG37" s="5" t="s">
        <v>308</v>
      </c>
      <c r="AH37" s="5" t="s">
        <v>411</v>
      </c>
      <c r="AI37" s="5" t="s">
        <v>456</v>
      </c>
    </row>
    <row r="38" spans="1:35" ht="54.75" customHeight="1">
      <c r="A38" s="5">
        <v>36</v>
      </c>
      <c r="B38" s="5" t="s">
        <v>297</v>
      </c>
      <c r="C38" s="5" t="s">
        <v>457</v>
      </c>
      <c r="D38" s="5" t="s">
        <v>299</v>
      </c>
      <c r="E38" s="5">
        <v>36</v>
      </c>
      <c r="F38" s="5" t="s">
        <v>300</v>
      </c>
      <c r="G38" s="5" t="s">
        <v>301</v>
      </c>
      <c r="H38" s="5" t="s">
        <v>458</v>
      </c>
      <c r="I38" s="5" t="s">
        <v>445</v>
      </c>
      <c r="J38" s="5" t="s">
        <v>328</v>
      </c>
      <c r="K38" s="5" t="s">
        <v>307</v>
      </c>
      <c r="L38" s="5" t="s">
        <v>459</v>
      </c>
      <c r="M38" s="5" t="s">
        <v>306</v>
      </c>
      <c r="N38" s="5" t="s">
        <v>304</v>
      </c>
      <c r="O38" s="5" t="s">
        <v>307</v>
      </c>
      <c r="P38" s="5" t="s">
        <v>304</v>
      </c>
      <c r="Q38" s="5" t="s">
        <v>301</v>
      </c>
      <c r="R38" s="5" t="s">
        <v>460</v>
      </c>
      <c r="S38" s="5" t="s">
        <v>301</v>
      </c>
      <c r="T38" s="5" t="s">
        <v>461</v>
      </c>
      <c r="U38" s="5" t="s">
        <v>462</v>
      </c>
      <c r="V38" s="5" t="s">
        <v>463</v>
      </c>
      <c r="W38" s="5" t="s">
        <v>304</v>
      </c>
      <c r="X38" s="5" t="s">
        <v>307</v>
      </c>
      <c r="Y38" s="5" t="s">
        <v>464</v>
      </c>
      <c r="Z38" s="5" t="s">
        <v>304</v>
      </c>
      <c r="AA38" s="5" t="s">
        <v>464</v>
      </c>
      <c r="AB38" s="5" t="s">
        <v>465</v>
      </c>
      <c r="AC38" s="5" t="s">
        <v>327</v>
      </c>
      <c r="AD38" s="5" t="s">
        <v>301</v>
      </c>
      <c r="AE38" s="5">
        <v>0</v>
      </c>
      <c r="AF38" s="5" t="s">
        <v>308</v>
      </c>
      <c r="AG38" s="5" t="s">
        <v>308</v>
      </c>
      <c r="AH38" s="5" t="s">
        <v>411</v>
      </c>
      <c r="AI38" s="5"/>
    </row>
    <row r="39" spans="1:35" ht="41.25" customHeight="1">
      <c r="A39" s="5">
        <v>37</v>
      </c>
      <c r="B39" s="5" t="s">
        <v>297</v>
      </c>
      <c r="C39" s="5" t="s">
        <v>466</v>
      </c>
      <c r="D39" s="5" t="s">
        <v>337</v>
      </c>
      <c r="E39" s="5">
        <v>21</v>
      </c>
      <c r="F39" s="5" t="s">
        <v>300</v>
      </c>
      <c r="G39" s="5" t="s">
        <v>301</v>
      </c>
      <c r="H39" s="5" t="s">
        <v>467</v>
      </c>
      <c r="I39" s="5" t="s">
        <v>304</v>
      </c>
      <c r="J39" s="5" t="s">
        <v>468</v>
      </c>
      <c r="K39" s="5" t="s">
        <v>307</v>
      </c>
      <c r="L39" s="5" t="s">
        <v>469</v>
      </c>
      <c r="M39" s="5" t="s">
        <v>313</v>
      </c>
      <c r="N39" s="5" t="s">
        <v>304</v>
      </c>
      <c r="O39" s="5" t="s">
        <v>307</v>
      </c>
      <c r="P39" s="5" t="s">
        <v>304</v>
      </c>
      <c r="Q39" s="5" t="s">
        <v>301</v>
      </c>
      <c r="R39" s="5" t="s">
        <v>470</v>
      </c>
      <c r="S39" s="5" t="s">
        <v>301</v>
      </c>
      <c r="T39" s="5" t="s">
        <v>334</v>
      </c>
      <c r="U39" s="5" t="s">
        <v>304</v>
      </c>
      <c r="V39" s="5" t="s">
        <v>304</v>
      </c>
      <c r="W39" s="5" t="s">
        <v>304</v>
      </c>
      <c r="X39" s="5" t="s">
        <v>301</v>
      </c>
      <c r="Y39" s="5" t="s">
        <v>304</v>
      </c>
      <c r="Z39" s="5" t="s">
        <v>304</v>
      </c>
      <c r="AA39" s="5" t="s">
        <v>304</v>
      </c>
      <c r="AB39" s="5" t="s">
        <v>304</v>
      </c>
      <c r="AC39" s="5" t="s">
        <v>327</v>
      </c>
      <c r="AD39" s="5" t="s">
        <v>301</v>
      </c>
      <c r="AE39" s="5">
        <v>5</v>
      </c>
      <c r="AF39" s="5" t="s">
        <v>307</v>
      </c>
      <c r="AG39" s="5" t="s">
        <v>307</v>
      </c>
      <c r="AH39" s="5" t="s">
        <v>301</v>
      </c>
      <c r="AI39" s="5"/>
    </row>
    <row r="40" spans="1:35" ht="41.25" customHeight="1">
      <c r="A40" s="5">
        <v>38</v>
      </c>
      <c r="B40" s="5" t="s">
        <v>297</v>
      </c>
      <c r="C40" s="5" t="s">
        <v>471</v>
      </c>
      <c r="D40" s="5" t="s">
        <v>299</v>
      </c>
      <c r="E40" s="5">
        <v>35</v>
      </c>
      <c r="F40" s="5" t="s">
        <v>300</v>
      </c>
      <c r="G40" s="5" t="s">
        <v>301</v>
      </c>
      <c r="H40" s="5" t="s">
        <v>328</v>
      </c>
      <c r="I40" s="5" t="s">
        <v>310</v>
      </c>
      <c r="J40" s="5" t="s">
        <v>303</v>
      </c>
      <c r="K40" s="5" t="s">
        <v>301</v>
      </c>
      <c r="L40" s="5" t="s">
        <v>304</v>
      </c>
      <c r="M40" s="5" t="s">
        <v>306</v>
      </c>
      <c r="N40" s="5" t="s">
        <v>472</v>
      </c>
      <c r="O40" s="5" t="s">
        <v>411</v>
      </c>
      <c r="P40" s="5" t="s">
        <v>304</v>
      </c>
      <c r="Q40" s="5" t="s">
        <v>307</v>
      </c>
      <c r="R40" s="5" t="s">
        <v>473</v>
      </c>
      <c r="S40" s="5" t="s">
        <v>301</v>
      </c>
      <c r="T40" s="5" t="s">
        <v>474</v>
      </c>
      <c r="U40" s="5" t="s">
        <v>475</v>
      </c>
      <c r="V40" s="5" t="s">
        <v>304</v>
      </c>
      <c r="W40" s="5" t="s">
        <v>304</v>
      </c>
      <c r="X40" s="5" t="s">
        <v>307</v>
      </c>
      <c r="Y40" s="5" t="s">
        <v>304</v>
      </c>
      <c r="Z40" s="5" t="s">
        <v>304</v>
      </c>
      <c r="AA40" s="5" t="s">
        <v>304</v>
      </c>
      <c r="AB40" s="5" t="s">
        <v>476</v>
      </c>
      <c r="AC40" s="5" t="s">
        <v>317</v>
      </c>
      <c r="AD40" s="5" t="s">
        <v>307</v>
      </c>
      <c r="AE40" s="5">
        <v>0</v>
      </c>
      <c r="AF40" s="5" t="s">
        <v>308</v>
      </c>
      <c r="AG40" s="5" t="s">
        <v>308</v>
      </c>
      <c r="AH40" s="5" t="s">
        <v>411</v>
      </c>
      <c r="AI40" s="5"/>
    </row>
    <row r="41" spans="1:35" ht="54.75" customHeight="1">
      <c r="A41" s="5">
        <v>39</v>
      </c>
      <c r="B41" s="5" t="s">
        <v>297</v>
      </c>
      <c r="C41" s="5" t="s">
        <v>342</v>
      </c>
      <c r="D41" s="5" t="s">
        <v>299</v>
      </c>
      <c r="E41" s="5">
        <v>37</v>
      </c>
      <c r="F41" s="5" t="s">
        <v>300</v>
      </c>
      <c r="G41" s="5" t="s">
        <v>301</v>
      </c>
      <c r="H41" s="5" t="s">
        <v>328</v>
      </c>
      <c r="I41" s="5" t="s">
        <v>330</v>
      </c>
      <c r="J41" s="5" t="s">
        <v>304</v>
      </c>
      <c r="K41" s="5" t="s">
        <v>301</v>
      </c>
      <c r="L41" s="5" t="s">
        <v>304</v>
      </c>
      <c r="M41" s="5" t="s">
        <v>306</v>
      </c>
      <c r="N41" s="5" t="s">
        <v>304</v>
      </c>
      <c r="O41" s="5" t="s">
        <v>307</v>
      </c>
      <c r="P41" s="5" t="s">
        <v>304</v>
      </c>
      <c r="Q41" s="5" t="s">
        <v>301</v>
      </c>
      <c r="R41" s="5" t="s">
        <v>477</v>
      </c>
      <c r="S41" s="5" t="s">
        <v>307</v>
      </c>
      <c r="T41" s="5" t="s">
        <v>478</v>
      </c>
      <c r="U41" s="5" t="s">
        <v>479</v>
      </c>
      <c r="V41" s="5" t="s">
        <v>480</v>
      </c>
      <c r="W41" s="5" t="s">
        <v>304</v>
      </c>
      <c r="X41" s="5" t="s">
        <v>307</v>
      </c>
      <c r="Y41" s="5" t="s">
        <v>304</v>
      </c>
      <c r="Z41" s="5" t="s">
        <v>304</v>
      </c>
      <c r="AA41" s="5" t="s">
        <v>304</v>
      </c>
      <c r="AB41" s="5" t="s">
        <v>481</v>
      </c>
      <c r="AC41" s="5" t="s">
        <v>327</v>
      </c>
      <c r="AD41" s="5" t="s">
        <v>307</v>
      </c>
      <c r="AE41" s="5">
        <v>0</v>
      </c>
      <c r="AF41" s="5" t="s">
        <v>307</v>
      </c>
      <c r="AG41" s="5" t="s">
        <v>308</v>
      </c>
      <c r="AH41" s="5" t="s">
        <v>301</v>
      </c>
      <c r="AI41" s="5"/>
    </row>
    <row r="42" spans="1:35" ht="27.75" customHeight="1">
      <c r="A42" s="5">
        <v>40</v>
      </c>
      <c r="B42" s="5" t="s">
        <v>297</v>
      </c>
      <c r="C42" s="5" t="s">
        <v>413</v>
      </c>
      <c r="D42" s="5" t="s">
        <v>337</v>
      </c>
      <c r="E42" s="5">
        <v>35</v>
      </c>
      <c r="F42" s="5" t="s">
        <v>300</v>
      </c>
      <c r="G42" s="5" t="s">
        <v>301</v>
      </c>
      <c r="H42" s="5" t="s">
        <v>310</v>
      </c>
      <c r="I42" s="5" t="s">
        <v>482</v>
      </c>
      <c r="J42" s="5" t="s">
        <v>304</v>
      </c>
      <c r="K42" s="5" t="s">
        <v>307</v>
      </c>
      <c r="L42" s="5" t="s">
        <v>304</v>
      </c>
      <c r="M42" s="5" t="s">
        <v>313</v>
      </c>
      <c r="N42" s="5" t="s">
        <v>304</v>
      </c>
      <c r="O42" s="5" t="s">
        <v>307</v>
      </c>
      <c r="P42" s="5" t="s">
        <v>304</v>
      </c>
      <c r="Q42" s="5" t="s">
        <v>301</v>
      </c>
      <c r="R42" s="5" t="s">
        <v>483</v>
      </c>
      <c r="S42" s="5" t="s">
        <v>301</v>
      </c>
      <c r="T42" s="5" t="s">
        <v>334</v>
      </c>
      <c r="U42" s="5" t="s">
        <v>484</v>
      </c>
      <c r="V42" s="5" t="s">
        <v>304</v>
      </c>
      <c r="W42" s="5" t="s">
        <v>304</v>
      </c>
      <c r="X42" s="5" t="s">
        <v>301</v>
      </c>
      <c r="Y42" s="5" t="s">
        <v>304</v>
      </c>
      <c r="Z42" s="5" t="s">
        <v>304</v>
      </c>
      <c r="AA42" s="5" t="s">
        <v>304</v>
      </c>
      <c r="AB42" s="5" t="s">
        <v>304</v>
      </c>
      <c r="AC42" s="5" t="s">
        <v>327</v>
      </c>
      <c r="AD42" s="5" t="s">
        <v>301</v>
      </c>
      <c r="AE42" s="5">
        <v>0</v>
      </c>
      <c r="AF42" s="5" t="s">
        <v>411</v>
      </c>
      <c r="AG42" s="5" t="s">
        <v>308</v>
      </c>
      <c r="AH42" s="5" t="s">
        <v>411</v>
      </c>
      <c r="AI42" s="5"/>
    </row>
    <row r="43" spans="1:35" ht="15" customHeight="1">
      <c r="A43" s="5">
        <v>41</v>
      </c>
      <c r="B43" s="5" t="s">
        <v>297</v>
      </c>
      <c r="C43" s="5" t="s">
        <v>485</v>
      </c>
      <c r="D43" s="5" t="s">
        <v>299</v>
      </c>
      <c r="E43" s="5">
        <v>40</v>
      </c>
      <c r="F43" s="5" t="s">
        <v>300</v>
      </c>
      <c r="G43" s="5" t="s">
        <v>301</v>
      </c>
      <c r="H43" s="5" t="s">
        <v>457</v>
      </c>
      <c r="I43" s="5" t="s">
        <v>310</v>
      </c>
      <c r="J43" s="5" t="s">
        <v>304</v>
      </c>
      <c r="K43" s="5" t="s">
        <v>301</v>
      </c>
      <c r="L43" s="5" t="s">
        <v>486</v>
      </c>
      <c r="M43" s="5" t="s">
        <v>306</v>
      </c>
      <c r="N43" s="5" t="s">
        <v>304</v>
      </c>
      <c r="O43" s="5" t="s">
        <v>307</v>
      </c>
      <c r="P43" s="5" t="s">
        <v>304</v>
      </c>
      <c r="Q43" s="5" t="s">
        <v>301</v>
      </c>
      <c r="R43" s="5" t="s">
        <v>328</v>
      </c>
      <c r="S43" s="5" t="s">
        <v>307</v>
      </c>
      <c r="T43" s="5" t="s">
        <v>334</v>
      </c>
      <c r="U43" s="5" t="s">
        <v>304</v>
      </c>
      <c r="V43" s="5" t="s">
        <v>304</v>
      </c>
      <c r="W43" s="5" t="s">
        <v>304</v>
      </c>
      <c r="X43" s="5" t="s">
        <v>307</v>
      </c>
      <c r="Y43" s="5" t="s">
        <v>304</v>
      </c>
      <c r="Z43" s="5" t="s">
        <v>304</v>
      </c>
      <c r="AA43" s="5" t="s">
        <v>304</v>
      </c>
      <c r="AB43" s="5" t="s">
        <v>304</v>
      </c>
      <c r="AC43" s="5" t="s">
        <v>327</v>
      </c>
      <c r="AD43" s="5" t="s">
        <v>301</v>
      </c>
      <c r="AE43" s="5">
        <v>0</v>
      </c>
      <c r="AF43" s="5" t="s">
        <v>411</v>
      </c>
      <c r="AG43" s="5" t="s">
        <v>411</v>
      </c>
      <c r="AH43" s="5" t="s">
        <v>411</v>
      </c>
      <c r="AI43" s="5"/>
    </row>
    <row r="44" spans="1:35" ht="15" customHeight="1">
      <c r="A44" s="5">
        <v>42</v>
      </c>
      <c r="B44" s="5" t="s">
        <v>297</v>
      </c>
      <c r="C44" s="5" t="s">
        <v>487</v>
      </c>
      <c r="D44" s="5" t="s">
        <v>488</v>
      </c>
      <c r="E44" s="5">
        <v>65</v>
      </c>
      <c r="F44" s="5" t="s">
        <v>300</v>
      </c>
      <c r="G44" s="5" t="s">
        <v>301</v>
      </c>
      <c r="H44" s="5" t="s">
        <v>328</v>
      </c>
      <c r="I44" s="5" t="s">
        <v>310</v>
      </c>
      <c r="J44" s="5" t="s">
        <v>304</v>
      </c>
      <c r="K44" s="5" t="s">
        <v>307</v>
      </c>
      <c r="L44" s="5" t="s">
        <v>304</v>
      </c>
      <c r="M44" s="5" t="s">
        <v>313</v>
      </c>
      <c r="N44" s="5" t="s">
        <v>489</v>
      </c>
      <c r="O44" s="5" t="s">
        <v>307</v>
      </c>
      <c r="P44" s="5" t="s">
        <v>304</v>
      </c>
      <c r="Q44" s="5" t="s">
        <v>307</v>
      </c>
      <c r="R44" s="5" t="s">
        <v>490</v>
      </c>
      <c r="S44" s="5" t="s">
        <v>307</v>
      </c>
      <c r="T44" s="5" t="s">
        <v>334</v>
      </c>
      <c r="U44" s="5" t="s">
        <v>304</v>
      </c>
      <c r="V44" s="5" t="s">
        <v>304</v>
      </c>
      <c r="W44" s="5" t="s">
        <v>304</v>
      </c>
      <c r="X44" s="5" t="s">
        <v>307</v>
      </c>
      <c r="Y44" s="5" t="s">
        <v>304</v>
      </c>
      <c r="Z44" s="5" t="s">
        <v>304</v>
      </c>
      <c r="AA44" s="5" t="s">
        <v>304</v>
      </c>
      <c r="AB44" s="5" t="s">
        <v>304</v>
      </c>
      <c r="AC44" s="5" t="s">
        <v>327</v>
      </c>
      <c r="AD44" s="5" t="s">
        <v>301</v>
      </c>
      <c r="AE44" s="5">
        <v>0</v>
      </c>
      <c r="AF44" s="5" t="s">
        <v>411</v>
      </c>
      <c r="AG44" s="5" t="s">
        <v>411</v>
      </c>
      <c r="AH44" s="5" t="s">
        <v>411</v>
      </c>
      <c r="AI44" s="5"/>
    </row>
    <row r="45" spans="1:35" ht="15" customHeight="1">
      <c r="A45" s="5">
        <v>43</v>
      </c>
      <c r="B45" s="5" t="s">
        <v>297</v>
      </c>
      <c r="C45" s="5" t="s">
        <v>491</v>
      </c>
      <c r="D45" s="5" t="s">
        <v>488</v>
      </c>
      <c r="E45" s="5">
        <v>27</v>
      </c>
      <c r="F45" s="5" t="s">
        <v>300</v>
      </c>
      <c r="G45" s="5" t="s">
        <v>301</v>
      </c>
      <c r="H45" s="5" t="s">
        <v>454</v>
      </c>
      <c r="I45" s="5" t="s">
        <v>328</v>
      </c>
      <c r="J45" s="5" t="s">
        <v>304</v>
      </c>
      <c r="K45" s="5" t="s">
        <v>307</v>
      </c>
      <c r="L45" s="5" t="s">
        <v>304</v>
      </c>
      <c r="M45" s="5" t="s">
        <v>313</v>
      </c>
      <c r="N45" s="5" t="s">
        <v>304</v>
      </c>
      <c r="O45" s="5" t="s">
        <v>307</v>
      </c>
      <c r="P45" s="5" t="s">
        <v>304</v>
      </c>
      <c r="Q45" s="5" t="s">
        <v>301</v>
      </c>
      <c r="R45" s="5" t="s">
        <v>492</v>
      </c>
      <c r="S45" s="5" t="s">
        <v>307</v>
      </c>
      <c r="T45" s="5" t="s">
        <v>395</v>
      </c>
      <c r="U45" s="5" t="s">
        <v>304</v>
      </c>
      <c r="V45" s="5" t="s">
        <v>304</v>
      </c>
      <c r="W45" s="5" t="s">
        <v>304</v>
      </c>
      <c r="X45" s="5" t="s">
        <v>307</v>
      </c>
      <c r="Y45" s="5" t="s">
        <v>304</v>
      </c>
      <c r="Z45" s="5" t="s">
        <v>304</v>
      </c>
      <c r="AA45" s="5" t="s">
        <v>304</v>
      </c>
      <c r="AB45" s="5" t="s">
        <v>304</v>
      </c>
      <c r="AC45" s="5" t="s">
        <v>327</v>
      </c>
      <c r="AD45" s="5" t="s">
        <v>307</v>
      </c>
      <c r="AE45" s="5">
        <v>0</v>
      </c>
      <c r="AF45" s="5" t="s">
        <v>411</v>
      </c>
      <c r="AG45" s="5" t="s">
        <v>411</v>
      </c>
      <c r="AH45" s="5" t="s">
        <v>411</v>
      </c>
      <c r="AI45" s="5"/>
    </row>
    <row r="46" spans="1:35" ht="15" customHeight="1">
      <c r="A46" s="5">
        <v>44</v>
      </c>
      <c r="B46" s="5" t="s">
        <v>297</v>
      </c>
      <c r="C46" s="5" t="s">
        <v>487</v>
      </c>
      <c r="D46" s="5" t="s">
        <v>488</v>
      </c>
      <c r="E46" s="5">
        <v>53</v>
      </c>
      <c r="F46" s="5" t="s">
        <v>300</v>
      </c>
      <c r="G46" s="5" t="s">
        <v>301</v>
      </c>
      <c r="H46" s="5" t="s">
        <v>310</v>
      </c>
      <c r="I46" s="5" t="s">
        <v>328</v>
      </c>
      <c r="J46" s="5" t="s">
        <v>304</v>
      </c>
      <c r="K46" s="5" t="s">
        <v>301</v>
      </c>
      <c r="L46" s="5" t="s">
        <v>493</v>
      </c>
      <c r="M46" s="5" t="s">
        <v>306</v>
      </c>
      <c r="N46" s="5" t="s">
        <v>304</v>
      </c>
      <c r="O46" s="5" t="s">
        <v>301</v>
      </c>
      <c r="P46" s="5" t="s">
        <v>494</v>
      </c>
      <c r="Q46" s="5" t="s">
        <v>301</v>
      </c>
      <c r="R46" s="5" t="s">
        <v>304</v>
      </c>
      <c r="S46" s="5" t="s">
        <v>301</v>
      </c>
      <c r="T46" s="5" t="s">
        <v>495</v>
      </c>
      <c r="U46" s="5" t="s">
        <v>496</v>
      </c>
      <c r="V46" s="5" t="s">
        <v>304</v>
      </c>
      <c r="W46" s="5" t="s">
        <v>304</v>
      </c>
      <c r="X46" s="5" t="s">
        <v>307</v>
      </c>
      <c r="Y46" s="5" t="s">
        <v>304</v>
      </c>
      <c r="Z46" s="5" t="s">
        <v>304</v>
      </c>
      <c r="AA46" s="5" t="s">
        <v>304</v>
      </c>
      <c r="AB46" s="5" t="s">
        <v>304</v>
      </c>
      <c r="AC46" s="5" t="s">
        <v>497</v>
      </c>
      <c r="AD46" s="5" t="s">
        <v>498</v>
      </c>
      <c r="AE46" s="5">
        <v>3</v>
      </c>
      <c r="AF46" s="5" t="s">
        <v>499</v>
      </c>
      <c r="AG46" s="5" t="s">
        <v>411</v>
      </c>
      <c r="AH46" s="5" t="s">
        <v>411</v>
      </c>
      <c r="AI46" s="5"/>
    </row>
    <row r="47" spans="1:35" ht="41.25" customHeight="1">
      <c r="A47" s="5">
        <v>45</v>
      </c>
      <c r="B47" s="5" t="s">
        <v>297</v>
      </c>
      <c r="C47" s="5" t="s">
        <v>500</v>
      </c>
      <c r="D47" s="5" t="s">
        <v>299</v>
      </c>
      <c r="E47" s="5">
        <v>36</v>
      </c>
      <c r="F47" s="5" t="s">
        <v>300</v>
      </c>
      <c r="G47" s="5" t="s">
        <v>301</v>
      </c>
      <c r="H47" s="5" t="s">
        <v>501</v>
      </c>
      <c r="I47" s="5" t="s">
        <v>502</v>
      </c>
      <c r="J47" s="5" t="s">
        <v>304</v>
      </c>
      <c r="K47" s="5" t="s">
        <v>301</v>
      </c>
      <c r="L47" s="5" t="s">
        <v>304</v>
      </c>
      <c r="M47" s="5" t="s">
        <v>306</v>
      </c>
      <c r="N47" s="5" t="s">
        <v>304</v>
      </c>
      <c r="O47" s="5" t="s">
        <v>307</v>
      </c>
      <c r="P47" s="5" t="s">
        <v>503</v>
      </c>
      <c r="Q47" s="5" t="s">
        <v>307</v>
      </c>
      <c r="R47" s="5" t="s">
        <v>504</v>
      </c>
      <c r="S47" s="5" t="s">
        <v>301</v>
      </c>
      <c r="T47" s="5" t="s">
        <v>505</v>
      </c>
      <c r="U47" s="5" t="s">
        <v>304</v>
      </c>
      <c r="V47" s="5" t="s">
        <v>304</v>
      </c>
      <c r="W47" s="5" t="s">
        <v>304</v>
      </c>
      <c r="X47" s="5" t="s">
        <v>307</v>
      </c>
      <c r="Y47" s="5" t="s">
        <v>304</v>
      </c>
      <c r="Z47" s="5" t="s">
        <v>304</v>
      </c>
      <c r="AA47" s="5" t="s">
        <v>304</v>
      </c>
      <c r="AB47" s="5" t="s">
        <v>506</v>
      </c>
      <c r="AC47" s="5" t="s">
        <v>497</v>
      </c>
      <c r="AD47" s="5" t="s">
        <v>301</v>
      </c>
      <c r="AE47" s="5" t="s">
        <v>334</v>
      </c>
      <c r="AF47" s="5" t="s">
        <v>411</v>
      </c>
      <c r="AG47" s="5" t="s">
        <v>411</v>
      </c>
      <c r="AH47" s="5" t="s">
        <v>411</v>
      </c>
      <c r="AI47" s="5"/>
    </row>
    <row r="48" spans="1:35" ht="41.25" customHeight="1">
      <c r="A48" s="5">
        <v>46</v>
      </c>
      <c r="B48" s="5" t="s">
        <v>297</v>
      </c>
      <c r="C48" s="5" t="s">
        <v>487</v>
      </c>
      <c r="D48" s="5" t="s">
        <v>488</v>
      </c>
      <c r="E48" s="5">
        <v>55</v>
      </c>
      <c r="F48" s="5" t="s">
        <v>300</v>
      </c>
      <c r="G48" s="5" t="s">
        <v>301</v>
      </c>
      <c r="H48" s="5" t="s">
        <v>507</v>
      </c>
      <c r="I48" s="5" t="s">
        <v>508</v>
      </c>
      <c r="J48" s="5" t="s">
        <v>304</v>
      </c>
      <c r="K48" s="5" t="s">
        <v>301</v>
      </c>
      <c r="L48" s="5" t="s">
        <v>304</v>
      </c>
      <c r="M48" s="5" t="s">
        <v>306</v>
      </c>
      <c r="N48" s="5" t="s">
        <v>509</v>
      </c>
      <c r="O48" s="5" t="s">
        <v>307</v>
      </c>
      <c r="P48" s="5" t="s">
        <v>510</v>
      </c>
      <c r="Q48" s="5" t="s">
        <v>301</v>
      </c>
      <c r="R48" s="5" t="s">
        <v>304</v>
      </c>
      <c r="S48" s="5" t="s">
        <v>301</v>
      </c>
      <c r="T48" s="5" t="s">
        <v>511</v>
      </c>
      <c r="U48" s="5" t="s">
        <v>304</v>
      </c>
      <c r="V48" s="5" t="s">
        <v>304</v>
      </c>
      <c r="W48" s="5" t="s">
        <v>304</v>
      </c>
      <c r="X48" s="5" t="s">
        <v>301</v>
      </c>
      <c r="Y48" s="5" t="s">
        <v>304</v>
      </c>
      <c r="Z48" s="5" t="s">
        <v>304</v>
      </c>
      <c r="AA48" s="5" t="s">
        <v>304</v>
      </c>
      <c r="AB48" s="5" t="s">
        <v>304</v>
      </c>
      <c r="AC48" s="5" t="s">
        <v>497</v>
      </c>
      <c r="AD48" s="5" t="s">
        <v>307</v>
      </c>
      <c r="AE48" s="5" t="s">
        <v>334</v>
      </c>
      <c r="AF48" s="5" t="s">
        <v>411</v>
      </c>
      <c r="AG48" s="5" t="s">
        <v>411</v>
      </c>
      <c r="AH48" s="5" t="s">
        <v>411</v>
      </c>
      <c r="AI48" s="5"/>
    </row>
    <row r="49" spans="1:35" ht="27.75" customHeight="1">
      <c r="A49" s="5">
        <v>47</v>
      </c>
      <c r="B49" s="5" t="s">
        <v>297</v>
      </c>
      <c r="C49" s="5" t="s">
        <v>512</v>
      </c>
      <c r="D49" s="5" t="s">
        <v>488</v>
      </c>
      <c r="E49" s="5">
        <v>45</v>
      </c>
      <c r="F49" s="5" t="s">
        <v>513</v>
      </c>
      <c r="G49" s="5" t="s">
        <v>301</v>
      </c>
      <c r="H49" s="5" t="s">
        <v>514</v>
      </c>
      <c r="I49" s="5" t="s">
        <v>310</v>
      </c>
      <c r="J49" s="5" t="s">
        <v>304</v>
      </c>
      <c r="K49" s="5" t="s">
        <v>301</v>
      </c>
      <c r="L49" s="5" t="s">
        <v>304</v>
      </c>
      <c r="M49" s="5" t="s">
        <v>306</v>
      </c>
      <c r="N49" s="5" t="s">
        <v>304</v>
      </c>
      <c r="O49" s="5" t="s">
        <v>307</v>
      </c>
      <c r="P49" s="5" t="s">
        <v>304</v>
      </c>
      <c r="Q49" s="5" t="s">
        <v>301</v>
      </c>
      <c r="R49" s="5" t="s">
        <v>304</v>
      </c>
      <c r="S49" s="5" t="s">
        <v>307</v>
      </c>
      <c r="T49" s="5" t="s">
        <v>304</v>
      </c>
      <c r="U49" s="5" t="s">
        <v>304</v>
      </c>
      <c r="V49" s="5" t="s">
        <v>304</v>
      </c>
      <c r="W49" s="5" t="s">
        <v>304</v>
      </c>
      <c r="X49" s="5" t="s">
        <v>307</v>
      </c>
      <c r="Y49" s="5" t="s">
        <v>304</v>
      </c>
      <c r="Z49" s="5" t="s">
        <v>304</v>
      </c>
      <c r="AA49" s="5" t="s">
        <v>304</v>
      </c>
      <c r="AB49" s="5" t="s">
        <v>304</v>
      </c>
      <c r="AC49" s="5" t="s">
        <v>497</v>
      </c>
      <c r="AD49" s="5" t="s">
        <v>301</v>
      </c>
      <c r="AE49" s="5" t="s">
        <v>334</v>
      </c>
      <c r="AF49" s="5" t="s">
        <v>411</v>
      </c>
      <c r="AG49" s="5" t="s">
        <v>411</v>
      </c>
      <c r="AH49" s="5" t="s">
        <v>411</v>
      </c>
      <c r="AI49" s="5"/>
    </row>
    <row r="50" spans="1:35" ht="27.75" customHeight="1">
      <c r="A50" s="5">
        <v>48</v>
      </c>
      <c r="B50" s="5" t="s">
        <v>297</v>
      </c>
      <c r="C50" s="5" t="s">
        <v>515</v>
      </c>
      <c r="D50" s="5" t="s">
        <v>337</v>
      </c>
      <c r="E50" s="5">
        <v>27</v>
      </c>
      <c r="F50" s="5" t="s">
        <v>513</v>
      </c>
      <c r="G50" s="5" t="s">
        <v>301</v>
      </c>
      <c r="H50" s="5" t="s">
        <v>302</v>
      </c>
      <c r="I50" s="5" t="s">
        <v>508</v>
      </c>
      <c r="J50" s="5" t="s">
        <v>328</v>
      </c>
      <c r="K50" s="5" t="s">
        <v>301</v>
      </c>
      <c r="L50" s="5" t="s">
        <v>516</v>
      </c>
      <c r="M50" s="5" t="s">
        <v>313</v>
      </c>
      <c r="N50" s="5" t="s">
        <v>517</v>
      </c>
      <c r="O50" s="5" t="s">
        <v>307</v>
      </c>
      <c r="P50" s="5" t="s">
        <v>304</v>
      </c>
      <c r="Q50" s="5" t="s">
        <v>301</v>
      </c>
      <c r="R50" s="5" t="s">
        <v>304</v>
      </c>
      <c r="S50" s="5" t="s">
        <v>307</v>
      </c>
      <c r="T50" s="5" t="s">
        <v>518</v>
      </c>
      <c r="U50" s="5" t="s">
        <v>519</v>
      </c>
      <c r="V50" s="5" t="s">
        <v>304</v>
      </c>
      <c r="W50" s="5" t="s">
        <v>304</v>
      </c>
      <c r="X50" s="5" t="s">
        <v>301</v>
      </c>
      <c r="Y50" s="5" t="s">
        <v>304</v>
      </c>
      <c r="Z50" s="5" t="s">
        <v>304</v>
      </c>
      <c r="AA50" s="5" t="s">
        <v>304</v>
      </c>
      <c r="AB50" s="5" t="s">
        <v>304</v>
      </c>
      <c r="AC50" s="5" t="s">
        <v>520</v>
      </c>
      <c r="AD50" s="5" t="s">
        <v>301</v>
      </c>
      <c r="AE50" s="5" t="s">
        <v>334</v>
      </c>
      <c r="AF50" s="5" t="s">
        <v>411</v>
      </c>
      <c r="AG50" s="5" t="s">
        <v>411</v>
      </c>
      <c r="AH50" s="5" t="s">
        <v>411</v>
      </c>
      <c r="AI50" s="5"/>
    </row>
    <row r="51" spans="1:35" ht="41.25" customHeight="1">
      <c r="A51" s="5">
        <v>49</v>
      </c>
      <c r="B51" s="5" t="s">
        <v>297</v>
      </c>
      <c r="C51" s="5" t="s">
        <v>487</v>
      </c>
      <c r="D51" s="5" t="s">
        <v>488</v>
      </c>
      <c r="E51" s="5">
        <v>29</v>
      </c>
      <c r="F51" s="5" t="s">
        <v>300</v>
      </c>
      <c r="G51" s="5" t="s">
        <v>301</v>
      </c>
      <c r="H51" s="5" t="s">
        <v>310</v>
      </c>
      <c r="I51" s="5" t="s">
        <v>311</v>
      </c>
      <c r="J51" s="5" t="s">
        <v>304</v>
      </c>
      <c r="K51" s="5" t="s">
        <v>301</v>
      </c>
      <c r="L51" s="5" t="s">
        <v>304</v>
      </c>
      <c r="M51" s="5" t="s">
        <v>306</v>
      </c>
      <c r="N51" s="5" t="s">
        <v>304</v>
      </c>
      <c r="O51" s="5" t="s">
        <v>307</v>
      </c>
      <c r="P51" s="5" t="s">
        <v>521</v>
      </c>
      <c r="Q51" s="5" t="s">
        <v>307</v>
      </c>
      <c r="R51" s="5" t="s">
        <v>304</v>
      </c>
      <c r="S51" s="5" t="s">
        <v>301</v>
      </c>
      <c r="T51" s="5" t="s">
        <v>522</v>
      </c>
      <c r="U51" s="5" t="s">
        <v>523</v>
      </c>
      <c r="V51" s="5" t="s">
        <v>304</v>
      </c>
      <c r="W51" s="5" t="s">
        <v>304</v>
      </c>
      <c r="X51" s="5" t="s">
        <v>301</v>
      </c>
      <c r="Y51" s="5" t="s">
        <v>304</v>
      </c>
      <c r="Z51" s="5" t="s">
        <v>304</v>
      </c>
      <c r="AA51" s="5" t="s">
        <v>304</v>
      </c>
      <c r="AB51" s="5" t="s">
        <v>304</v>
      </c>
      <c r="AC51" s="5" t="s">
        <v>317</v>
      </c>
      <c r="AD51" s="5" t="s">
        <v>301</v>
      </c>
      <c r="AE51" s="5" t="s">
        <v>524</v>
      </c>
      <c r="AF51" s="5" t="s">
        <v>498</v>
      </c>
      <c r="AG51" s="5" t="s">
        <v>498</v>
      </c>
      <c r="AH51" s="5" t="s">
        <v>525</v>
      </c>
      <c r="AI51" s="5"/>
    </row>
    <row r="52" spans="1:35" ht="41.25" customHeight="1">
      <c r="A52" s="5">
        <v>50</v>
      </c>
      <c r="B52" s="5" t="s">
        <v>297</v>
      </c>
      <c r="C52" s="5" t="s">
        <v>500</v>
      </c>
      <c r="D52" s="5" t="s">
        <v>299</v>
      </c>
      <c r="E52" s="5">
        <v>26</v>
      </c>
      <c r="F52" s="5" t="s">
        <v>300</v>
      </c>
      <c r="G52" s="5" t="s">
        <v>301</v>
      </c>
      <c r="H52" s="5" t="s">
        <v>501</v>
      </c>
      <c r="I52" s="5" t="s">
        <v>310</v>
      </c>
      <c r="J52" s="5" t="s">
        <v>304</v>
      </c>
      <c r="K52" s="5" t="s">
        <v>301</v>
      </c>
      <c r="L52" s="5" t="s">
        <v>304</v>
      </c>
      <c r="M52" s="5" t="s">
        <v>306</v>
      </c>
      <c r="N52" s="5" t="s">
        <v>526</v>
      </c>
      <c r="O52" s="5" t="s">
        <v>301</v>
      </c>
      <c r="P52" s="5" t="s">
        <v>304</v>
      </c>
      <c r="Q52" s="5" t="s">
        <v>301</v>
      </c>
      <c r="R52" s="5" t="s">
        <v>304</v>
      </c>
      <c r="S52" s="5" t="s">
        <v>301</v>
      </c>
      <c r="T52" s="5" t="s">
        <v>527</v>
      </c>
      <c r="U52" s="5" t="s">
        <v>528</v>
      </c>
      <c r="V52" s="5" t="s">
        <v>529</v>
      </c>
      <c r="W52" s="5" t="s">
        <v>304</v>
      </c>
      <c r="X52" s="5" t="s">
        <v>301</v>
      </c>
      <c r="Y52" s="5" t="s">
        <v>304</v>
      </c>
      <c r="Z52" s="5" t="s">
        <v>304</v>
      </c>
      <c r="AA52" s="5" t="s">
        <v>304</v>
      </c>
      <c r="AB52" s="5" t="s">
        <v>530</v>
      </c>
      <c r="AC52" s="5" t="s">
        <v>371</v>
      </c>
      <c r="AD52" s="5" t="s">
        <v>307</v>
      </c>
      <c r="AE52" s="5" t="s">
        <v>334</v>
      </c>
      <c r="AF52" s="5" t="s">
        <v>411</v>
      </c>
      <c r="AG52" s="5" t="s">
        <v>411</v>
      </c>
      <c r="AH52" s="5" t="s">
        <v>411</v>
      </c>
      <c r="AI52" s="5"/>
    </row>
    <row r="53" spans="1:35" ht="27.75" customHeight="1">
      <c r="A53" s="5">
        <v>51</v>
      </c>
      <c r="B53" s="5" t="s">
        <v>297</v>
      </c>
      <c r="C53" s="5" t="s">
        <v>515</v>
      </c>
      <c r="D53" s="5" t="s">
        <v>337</v>
      </c>
      <c r="E53" s="5">
        <v>35</v>
      </c>
      <c r="F53" s="5" t="s">
        <v>300</v>
      </c>
      <c r="G53" s="5" t="s">
        <v>301</v>
      </c>
      <c r="H53" s="5" t="s">
        <v>531</v>
      </c>
      <c r="I53" s="5" t="s">
        <v>310</v>
      </c>
      <c r="J53" s="5" t="s">
        <v>304</v>
      </c>
      <c r="K53" s="5" t="s">
        <v>301</v>
      </c>
      <c r="L53" s="5" t="s">
        <v>304</v>
      </c>
      <c r="M53" s="5" t="s">
        <v>313</v>
      </c>
      <c r="N53" s="5" t="s">
        <v>304</v>
      </c>
      <c r="O53" s="5" t="s">
        <v>307</v>
      </c>
      <c r="P53" s="5" t="s">
        <v>532</v>
      </c>
      <c r="Q53" s="5" t="s">
        <v>307</v>
      </c>
      <c r="R53" s="5" t="s">
        <v>533</v>
      </c>
      <c r="S53" s="5" t="s">
        <v>301</v>
      </c>
      <c r="T53" s="5" t="s">
        <v>304</v>
      </c>
      <c r="U53" s="5" t="s">
        <v>304</v>
      </c>
      <c r="V53" s="5" t="s">
        <v>304</v>
      </c>
      <c r="W53" s="5" t="s">
        <v>304</v>
      </c>
      <c r="X53" s="5" t="s">
        <v>307</v>
      </c>
      <c r="Y53" s="5" t="s">
        <v>304</v>
      </c>
      <c r="Z53" s="5" t="s">
        <v>304</v>
      </c>
      <c r="AA53" s="5" t="s">
        <v>304</v>
      </c>
      <c r="AB53" s="5" t="s">
        <v>304</v>
      </c>
      <c r="AC53" s="5" t="s">
        <v>534</v>
      </c>
      <c r="AD53" s="5" t="s">
        <v>301</v>
      </c>
      <c r="AE53" s="5" t="s">
        <v>334</v>
      </c>
      <c r="AF53" s="5" t="s">
        <v>411</v>
      </c>
      <c r="AG53" s="5" t="s">
        <v>411</v>
      </c>
      <c r="AH53" s="5" t="s">
        <v>411</v>
      </c>
      <c r="AI53" s="5"/>
    </row>
    <row r="54" spans="1:35" ht="27.75" customHeight="1">
      <c r="A54" s="5">
        <v>52</v>
      </c>
      <c r="B54" s="5" t="s">
        <v>297</v>
      </c>
      <c r="C54" s="5" t="s">
        <v>487</v>
      </c>
      <c r="D54" s="5" t="s">
        <v>488</v>
      </c>
      <c r="E54" s="5">
        <v>29</v>
      </c>
      <c r="F54" s="5" t="s">
        <v>300</v>
      </c>
      <c r="G54" s="5" t="s">
        <v>301</v>
      </c>
      <c r="H54" s="5" t="s">
        <v>535</v>
      </c>
      <c r="I54" s="5" t="s">
        <v>330</v>
      </c>
      <c r="J54" s="5" t="s">
        <v>304</v>
      </c>
      <c r="K54" s="5" t="s">
        <v>301</v>
      </c>
      <c r="L54" s="5" t="s">
        <v>304</v>
      </c>
      <c r="M54" s="5" t="s">
        <v>306</v>
      </c>
      <c r="N54" s="5" t="s">
        <v>536</v>
      </c>
      <c r="O54" s="5" t="s">
        <v>301</v>
      </c>
      <c r="P54" s="5" t="s">
        <v>537</v>
      </c>
      <c r="Q54" s="5" t="s">
        <v>301</v>
      </c>
      <c r="R54" s="5" t="s">
        <v>304</v>
      </c>
      <c r="S54" s="5" t="s">
        <v>301</v>
      </c>
      <c r="T54" s="5" t="s">
        <v>538</v>
      </c>
      <c r="U54" s="5" t="s">
        <v>304</v>
      </c>
      <c r="V54" s="5" t="s">
        <v>304</v>
      </c>
      <c r="W54" s="5" t="s">
        <v>304</v>
      </c>
      <c r="X54" s="5" t="s">
        <v>307</v>
      </c>
      <c r="Y54" s="5"/>
      <c r="Z54" s="5"/>
      <c r="AA54" s="5"/>
      <c r="AB54" s="5" t="s">
        <v>539</v>
      </c>
      <c r="AC54" s="5" t="s">
        <v>497</v>
      </c>
      <c r="AD54" s="5" t="s">
        <v>307</v>
      </c>
      <c r="AE54" s="5" t="s">
        <v>334</v>
      </c>
      <c r="AF54" s="5" t="s">
        <v>411</v>
      </c>
      <c r="AG54" s="5" t="s">
        <v>411</v>
      </c>
      <c r="AH54" s="5" t="s">
        <v>411</v>
      </c>
      <c r="AI54" s="5"/>
    </row>
    <row r="55" spans="1:35" ht="54.75" customHeight="1">
      <c r="A55" s="5">
        <v>53</v>
      </c>
      <c r="B55" s="5" t="s">
        <v>297</v>
      </c>
      <c r="C55" s="5" t="s">
        <v>512</v>
      </c>
      <c r="D55" s="5" t="s">
        <v>488</v>
      </c>
      <c r="E55" s="5">
        <v>21</v>
      </c>
      <c r="F55" s="5" t="s">
        <v>300</v>
      </c>
      <c r="G55" s="5" t="s">
        <v>301</v>
      </c>
      <c r="H55" s="5" t="s">
        <v>540</v>
      </c>
      <c r="I55" s="5" t="s">
        <v>541</v>
      </c>
      <c r="J55" s="5" t="s">
        <v>304</v>
      </c>
      <c r="K55" s="5" t="s">
        <v>301</v>
      </c>
      <c r="L55" s="5" t="s">
        <v>304</v>
      </c>
      <c r="M55" s="5" t="s">
        <v>383</v>
      </c>
      <c r="N55" s="5" t="s">
        <v>542</v>
      </c>
      <c r="O55" s="5" t="s">
        <v>307</v>
      </c>
      <c r="P55" s="5" t="s">
        <v>543</v>
      </c>
      <c r="Q55" s="5" t="s">
        <v>301</v>
      </c>
      <c r="R55" s="5" t="s">
        <v>544</v>
      </c>
      <c r="S55" s="5" t="s">
        <v>301</v>
      </c>
      <c r="T55" s="5" t="s">
        <v>545</v>
      </c>
      <c r="U55" s="5" t="s">
        <v>304</v>
      </c>
      <c r="V55" s="5" t="s">
        <v>304</v>
      </c>
      <c r="W55" s="5" t="s">
        <v>304</v>
      </c>
      <c r="X55" s="5" t="s">
        <v>301</v>
      </c>
      <c r="Y55" s="5" t="s">
        <v>304</v>
      </c>
      <c r="Z55" s="5" t="s">
        <v>304</v>
      </c>
      <c r="AA55" s="5" t="s">
        <v>304</v>
      </c>
      <c r="AB55" s="5" t="s">
        <v>546</v>
      </c>
      <c r="AC55" s="5" t="s">
        <v>317</v>
      </c>
      <c r="AD55" s="5" t="s">
        <v>301</v>
      </c>
      <c r="AE55" s="5" t="s">
        <v>334</v>
      </c>
      <c r="AF55" s="5" t="s">
        <v>411</v>
      </c>
      <c r="AG55" s="5" t="s">
        <v>411</v>
      </c>
      <c r="AH55" s="5" t="s">
        <v>411</v>
      </c>
      <c r="AI55" s="5"/>
    </row>
    <row r="56" spans="1:35" ht="41.25" customHeight="1">
      <c r="A56" s="5">
        <v>54</v>
      </c>
      <c r="B56" s="5" t="s">
        <v>297</v>
      </c>
      <c r="C56" s="5" t="s">
        <v>500</v>
      </c>
      <c r="D56" s="5" t="s">
        <v>299</v>
      </c>
      <c r="E56" s="5">
        <v>40</v>
      </c>
      <c r="F56" s="5" t="s">
        <v>300</v>
      </c>
      <c r="G56" s="5" t="s">
        <v>301</v>
      </c>
      <c r="H56" s="5" t="s">
        <v>547</v>
      </c>
      <c r="I56" s="5" t="s">
        <v>330</v>
      </c>
      <c r="J56" s="5" t="s">
        <v>304</v>
      </c>
      <c r="K56" s="5" t="s">
        <v>301</v>
      </c>
      <c r="L56" s="5" t="s">
        <v>304</v>
      </c>
      <c r="M56" s="5" t="s">
        <v>313</v>
      </c>
      <c r="N56" s="5" t="s">
        <v>548</v>
      </c>
      <c r="O56" s="5" t="s">
        <v>304</v>
      </c>
      <c r="P56" s="5" t="s">
        <v>549</v>
      </c>
      <c r="Q56" s="5" t="s">
        <v>301</v>
      </c>
      <c r="R56" s="5" t="s">
        <v>304</v>
      </c>
      <c r="S56" s="5" t="s">
        <v>307</v>
      </c>
      <c r="T56" s="5" t="s">
        <v>550</v>
      </c>
      <c r="U56" s="5" t="s">
        <v>304</v>
      </c>
      <c r="V56" s="5" t="s">
        <v>304</v>
      </c>
      <c r="W56" s="5" t="s">
        <v>304</v>
      </c>
      <c r="X56" s="5" t="s">
        <v>551</v>
      </c>
      <c r="Y56" s="5" t="s">
        <v>304</v>
      </c>
      <c r="Z56" s="5" t="s">
        <v>304</v>
      </c>
      <c r="AA56" s="5" t="s">
        <v>304</v>
      </c>
      <c r="AB56" s="5" t="s">
        <v>304</v>
      </c>
      <c r="AC56" s="5" t="s">
        <v>497</v>
      </c>
      <c r="AD56" s="5" t="s">
        <v>301</v>
      </c>
      <c r="AE56" s="5" t="s">
        <v>334</v>
      </c>
      <c r="AF56" s="5" t="s">
        <v>411</v>
      </c>
      <c r="AG56" s="5" t="s">
        <v>411</v>
      </c>
      <c r="AH56" s="5" t="s">
        <v>411</v>
      </c>
      <c r="AI56" s="5"/>
    </row>
    <row r="57" spans="1:35" ht="41.25" customHeight="1">
      <c r="A57" s="5">
        <v>55</v>
      </c>
      <c r="B57" s="5" t="s">
        <v>297</v>
      </c>
      <c r="C57" s="5" t="s">
        <v>487</v>
      </c>
      <c r="D57" s="5" t="s">
        <v>488</v>
      </c>
      <c r="E57" s="5">
        <v>32</v>
      </c>
      <c r="F57" s="5" t="s">
        <v>300</v>
      </c>
      <c r="G57" s="5" t="s">
        <v>307</v>
      </c>
      <c r="H57" s="5" t="s">
        <v>534</v>
      </c>
      <c r="I57" s="5" t="s">
        <v>330</v>
      </c>
      <c r="J57" s="5" t="s">
        <v>304</v>
      </c>
      <c r="K57" s="5" t="s">
        <v>301</v>
      </c>
      <c r="L57" s="5" t="s">
        <v>552</v>
      </c>
      <c r="M57" s="5" t="s">
        <v>306</v>
      </c>
      <c r="N57" s="5" t="s">
        <v>553</v>
      </c>
      <c r="O57" s="5" t="s">
        <v>307</v>
      </c>
      <c r="P57" s="5" t="s">
        <v>554</v>
      </c>
      <c r="Q57" s="5" t="s">
        <v>301</v>
      </c>
      <c r="R57" s="5" t="s">
        <v>304</v>
      </c>
      <c r="S57" s="5" t="s">
        <v>307</v>
      </c>
      <c r="T57" s="5" t="s">
        <v>555</v>
      </c>
      <c r="U57" s="5" t="s">
        <v>304</v>
      </c>
      <c r="V57" s="5" t="s">
        <v>304</v>
      </c>
      <c r="W57" s="5" t="s">
        <v>304</v>
      </c>
      <c r="X57" s="5" t="s">
        <v>307</v>
      </c>
      <c r="Y57" s="5" t="s">
        <v>304</v>
      </c>
      <c r="Z57" s="5" t="s">
        <v>304</v>
      </c>
      <c r="AA57" s="5" t="s">
        <v>304</v>
      </c>
      <c r="AB57" s="5" t="s">
        <v>556</v>
      </c>
      <c r="AC57" s="5" t="s">
        <v>497</v>
      </c>
      <c r="AD57" s="5" t="s">
        <v>301</v>
      </c>
      <c r="AE57" s="5" t="s">
        <v>334</v>
      </c>
      <c r="AF57" s="5" t="s">
        <v>411</v>
      </c>
      <c r="AG57" s="5" t="s">
        <v>411</v>
      </c>
      <c r="AH57" s="5" t="s">
        <v>411</v>
      </c>
      <c r="AI57" s="5"/>
    </row>
    <row r="58" spans="1:35" ht="41.25" customHeight="1">
      <c r="A58" s="5">
        <v>56</v>
      </c>
      <c r="B58" s="5" t="s">
        <v>297</v>
      </c>
      <c r="C58" s="5" t="s">
        <v>500</v>
      </c>
      <c r="D58" s="5" t="s">
        <v>299</v>
      </c>
      <c r="E58" s="5">
        <v>26</v>
      </c>
      <c r="F58" s="5" t="s">
        <v>300</v>
      </c>
      <c r="G58" s="5" t="s">
        <v>307</v>
      </c>
      <c r="H58" s="5" t="s">
        <v>550</v>
      </c>
      <c r="I58" s="5" t="s">
        <v>330</v>
      </c>
      <c r="J58" s="5" t="s">
        <v>304</v>
      </c>
      <c r="K58" s="5" t="s">
        <v>301</v>
      </c>
      <c r="L58" s="5" t="s">
        <v>557</v>
      </c>
      <c r="M58" s="5" t="s">
        <v>306</v>
      </c>
      <c r="N58" s="5" t="s">
        <v>558</v>
      </c>
      <c r="O58" s="5" t="s">
        <v>301</v>
      </c>
      <c r="P58" s="5" t="s">
        <v>559</v>
      </c>
      <c r="Q58" s="5" t="s">
        <v>301</v>
      </c>
      <c r="R58" s="5"/>
      <c r="S58" s="5" t="s">
        <v>307</v>
      </c>
      <c r="T58" s="5" t="s">
        <v>560</v>
      </c>
      <c r="U58" s="5" t="s">
        <v>304</v>
      </c>
      <c r="V58" s="5" t="s">
        <v>304</v>
      </c>
      <c r="W58" s="5" t="s">
        <v>304</v>
      </c>
      <c r="X58" s="5" t="s">
        <v>307</v>
      </c>
      <c r="Y58" s="5" t="s">
        <v>304</v>
      </c>
      <c r="Z58" s="5" t="s">
        <v>304</v>
      </c>
      <c r="AA58" s="5" t="s">
        <v>304</v>
      </c>
      <c r="AB58" s="5" t="s">
        <v>539</v>
      </c>
      <c r="AC58" s="5" t="s">
        <v>497</v>
      </c>
      <c r="AD58" s="5" t="s">
        <v>301</v>
      </c>
      <c r="AE58" s="5" t="s">
        <v>334</v>
      </c>
      <c r="AF58" s="5" t="s">
        <v>411</v>
      </c>
      <c r="AG58" s="5" t="s">
        <v>411</v>
      </c>
      <c r="AH58" s="5" t="s">
        <v>411</v>
      </c>
      <c r="AI58" s="5"/>
    </row>
    <row r="59" spans="1:35" ht="27.75" customHeight="1">
      <c r="A59" s="5">
        <v>57</v>
      </c>
      <c r="B59" s="5" t="s">
        <v>297</v>
      </c>
      <c r="C59" s="5" t="s">
        <v>512</v>
      </c>
      <c r="D59" s="5" t="s">
        <v>488</v>
      </c>
      <c r="E59" s="5">
        <v>32</v>
      </c>
      <c r="F59" s="5" t="s">
        <v>300</v>
      </c>
      <c r="G59" s="5" t="s">
        <v>307</v>
      </c>
      <c r="H59" s="5" t="s">
        <v>539</v>
      </c>
      <c r="I59" s="5" t="s">
        <v>304</v>
      </c>
      <c r="J59" s="5" t="s">
        <v>304</v>
      </c>
      <c r="K59" s="5" t="s">
        <v>301</v>
      </c>
      <c r="L59" s="5" t="s">
        <v>561</v>
      </c>
      <c r="M59" s="5" t="s">
        <v>306</v>
      </c>
      <c r="N59" s="5" t="s">
        <v>562</v>
      </c>
      <c r="O59" s="5" t="s">
        <v>307</v>
      </c>
      <c r="P59" s="5" t="s">
        <v>304</v>
      </c>
      <c r="Q59" s="5" t="s">
        <v>301</v>
      </c>
      <c r="R59" s="5" t="s">
        <v>304</v>
      </c>
      <c r="S59" s="5" t="s">
        <v>301</v>
      </c>
      <c r="T59" s="5" t="s">
        <v>304</v>
      </c>
      <c r="U59" s="5" t="s">
        <v>304</v>
      </c>
      <c r="V59" s="5" t="s">
        <v>304</v>
      </c>
      <c r="W59" s="5" t="s">
        <v>304</v>
      </c>
      <c r="X59" s="5" t="s">
        <v>307</v>
      </c>
      <c r="Y59" s="5" t="s">
        <v>304</v>
      </c>
      <c r="Z59" s="5" t="s">
        <v>304</v>
      </c>
      <c r="AA59" s="5" t="s">
        <v>304</v>
      </c>
      <c r="AB59" s="5" t="s">
        <v>563</v>
      </c>
      <c r="AC59" s="5" t="s">
        <v>497</v>
      </c>
      <c r="AD59" s="5" t="s">
        <v>307</v>
      </c>
      <c r="AE59" s="5" t="s">
        <v>334</v>
      </c>
      <c r="AF59" s="5" t="s">
        <v>411</v>
      </c>
      <c r="AG59" s="5" t="s">
        <v>411</v>
      </c>
      <c r="AH59" s="5" t="s">
        <v>411</v>
      </c>
      <c r="AI59" s="5"/>
    </row>
    <row r="60" spans="1:35" ht="27.75" customHeight="1">
      <c r="A60" s="5">
        <v>58</v>
      </c>
      <c r="B60" s="5" t="s">
        <v>297</v>
      </c>
      <c r="C60" s="5" t="s">
        <v>500</v>
      </c>
      <c r="D60" s="5" t="s">
        <v>299</v>
      </c>
      <c r="E60" s="5">
        <v>40</v>
      </c>
      <c r="F60" s="5" t="s">
        <v>300</v>
      </c>
      <c r="G60" s="5" t="s">
        <v>307</v>
      </c>
      <c r="H60" s="5" t="s">
        <v>328</v>
      </c>
      <c r="I60" s="5" t="s">
        <v>304</v>
      </c>
      <c r="J60" s="5" t="s">
        <v>304</v>
      </c>
      <c r="K60" s="5" t="s">
        <v>301</v>
      </c>
      <c r="L60" s="5" t="s">
        <v>304</v>
      </c>
      <c r="M60" s="5" t="s">
        <v>306</v>
      </c>
      <c r="N60" s="5" t="s">
        <v>304</v>
      </c>
      <c r="O60" s="5" t="s">
        <v>301</v>
      </c>
      <c r="P60" s="5" t="s">
        <v>304</v>
      </c>
      <c r="Q60" s="5" t="s">
        <v>301</v>
      </c>
      <c r="R60" s="5" t="s">
        <v>304</v>
      </c>
      <c r="S60" s="5" t="s">
        <v>307</v>
      </c>
      <c r="T60" s="5" t="s">
        <v>564</v>
      </c>
      <c r="U60" s="5" t="s">
        <v>304</v>
      </c>
      <c r="V60" s="5" t="s">
        <v>304</v>
      </c>
      <c r="W60" s="5" t="s">
        <v>304</v>
      </c>
      <c r="X60" s="5" t="s">
        <v>307</v>
      </c>
      <c r="Y60" s="5" t="s">
        <v>304</v>
      </c>
      <c r="Z60" s="5" t="s">
        <v>304</v>
      </c>
      <c r="AA60" s="5" t="s">
        <v>304</v>
      </c>
      <c r="AB60" s="5" t="s">
        <v>304</v>
      </c>
      <c r="AC60" s="5" t="s">
        <v>497</v>
      </c>
      <c r="AD60" s="5" t="s">
        <v>307</v>
      </c>
      <c r="AE60" s="5" t="s">
        <v>334</v>
      </c>
      <c r="AF60" s="5" t="s">
        <v>411</v>
      </c>
      <c r="AG60" s="5" t="s">
        <v>411</v>
      </c>
      <c r="AH60" s="5" t="s">
        <v>411</v>
      </c>
      <c r="AI60" s="5"/>
    </row>
    <row r="61" spans="1:35" ht="54.75" customHeight="1">
      <c r="A61" s="5">
        <v>59</v>
      </c>
      <c r="B61" s="5" t="s">
        <v>297</v>
      </c>
      <c r="C61" s="5" t="s">
        <v>319</v>
      </c>
      <c r="D61" s="5" t="s">
        <v>337</v>
      </c>
      <c r="E61" s="5">
        <v>66</v>
      </c>
      <c r="F61" s="5" t="s">
        <v>300</v>
      </c>
      <c r="G61" s="5" t="s">
        <v>565</v>
      </c>
      <c r="H61" s="5" t="s">
        <v>566</v>
      </c>
      <c r="I61" s="5" t="s">
        <v>311</v>
      </c>
      <c r="J61" s="5" t="s">
        <v>304</v>
      </c>
      <c r="K61" s="5" t="s">
        <v>301</v>
      </c>
      <c r="L61" s="5" t="s">
        <v>567</v>
      </c>
      <c r="M61" s="5" t="s">
        <v>313</v>
      </c>
      <c r="N61" s="5" t="s">
        <v>568</v>
      </c>
      <c r="O61" s="5" t="s">
        <v>307</v>
      </c>
      <c r="P61" s="5" t="s">
        <v>569</v>
      </c>
      <c r="Q61" s="5" t="s">
        <v>307</v>
      </c>
      <c r="R61" s="5" t="s">
        <v>304</v>
      </c>
      <c r="S61" s="5" t="s">
        <v>307</v>
      </c>
      <c r="T61" s="5" t="s">
        <v>570</v>
      </c>
      <c r="U61" s="5" t="s">
        <v>496</v>
      </c>
      <c r="V61" s="5" t="s">
        <v>304</v>
      </c>
      <c r="W61" s="5" t="s">
        <v>304</v>
      </c>
      <c r="X61" s="5" t="s">
        <v>301</v>
      </c>
      <c r="Y61" s="5" t="s">
        <v>304</v>
      </c>
      <c r="Z61" s="5" t="s">
        <v>304</v>
      </c>
      <c r="AA61" s="5" t="s">
        <v>304</v>
      </c>
      <c r="AB61" s="5" t="s">
        <v>571</v>
      </c>
      <c r="AC61" s="5" t="s">
        <v>520</v>
      </c>
      <c r="AD61" s="5" t="s">
        <v>301</v>
      </c>
      <c r="AE61" s="5" t="s">
        <v>334</v>
      </c>
      <c r="AF61" s="5" t="s">
        <v>411</v>
      </c>
      <c r="AG61" s="5" t="s">
        <v>411</v>
      </c>
      <c r="AH61" s="5" t="s">
        <v>411</v>
      </c>
      <c r="AI61" s="5"/>
    </row>
    <row r="62" spans="1:35" ht="41.25" customHeight="1">
      <c r="A62" s="5">
        <v>60</v>
      </c>
      <c r="B62" s="5" t="s">
        <v>297</v>
      </c>
      <c r="C62" s="5" t="s">
        <v>487</v>
      </c>
      <c r="D62" s="5" t="s">
        <v>488</v>
      </c>
      <c r="E62" s="5">
        <v>32</v>
      </c>
      <c r="F62" s="5" t="s">
        <v>300</v>
      </c>
      <c r="G62" s="5" t="s">
        <v>301</v>
      </c>
      <c r="H62" s="5" t="s">
        <v>507</v>
      </c>
      <c r="I62" s="5" t="s">
        <v>572</v>
      </c>
      <c r="J62" s="5" t="s">
        <v>304</v>
      </c>
      <c r="K62" s="5" t="s">
        <v>301</v>
      </c>
      <c r="L62" s="5" t="s">
        <v>304</v>
      </c>
      <c r="M62" s="5" t="s">
        <v>313</v>
      </c>
      <c r="N62" s="5" t="s">
        <v>573</v>
      </c>
      <c r="O62" s="5" t="s">
        <v>307</v>
      </c>
      <c r="P62" s="5" t="s">
        <v>574</v>
      </c>
      <c r="Q62" s="5" t="s">
        <v>301</v>
      </c>
      <c r="R62" s="5" t="s">
        <v>304</v>
      </c>
      <c r="S62" s="5" t="s">
        <v>307</v>
      </c>
      <c r="T62" s="5" t="s">
        <v>575</v>
      </c>
      <c r="U62" s="5" t="s">
        <v>304</v>
      </c>
      <c r="V62" s="5" t="s">
        <v>304</v>
      </c>
      <c r="W62" s="5" t="s">
        <v>304</v>
      </c>
      <c r="X62" s="5" t="s">
        <v>576</v>
      </c>
      <c r="Y62" s="5" t="s">
        <v>304</v>
      </c>
      <c r="Z62" s="5" t="s">
        <v>304</v>
      </c>
      <c r="AA62" s="5" t="s">
        <v>304</v>
      </c>
      <c r="AB62" s="5" t="s">
        <v>577</v>
      </c>
      <c r="AC62" s="5" t="s">
        <v>497</v>
      </c>
      <c r="AD62" s="5" t="s">
        <v>301</v>
      </c>
      <c r="AE62" s="5" t="s">
        <v>334</v>
      </c>
      <c r="AF62" s="5" t="s">
        <v>411</v>
      </c>
      <c r="AG62" s="5" t="s">
        <v>411</v>
      </c>
      <c r="AH62" s="5" t="s">
        <v>411</v>
      </c>
      <c r="AI62" s="5"/>
    </row>
    <row r="63" spans="1:35" ht="41.25" customHeight="1">
      <c r="A63" s="5">
        <v>61</v>
      </c>
      <c r="B63" s="5" t="s">
        <v>297</v>
      </c>
      <c r="C63" s="5" t="s">
        <v>396</v>
      </c>
      <c r="D63" s="5" t="s">
        <v>337</v>
      </c>
      <c r="E63" s="5">
        <v>38</v>
      </c>
      <c r="F63" s="5" t="s">
        <v>300</v>
      </c>
      <c r="G63" s="5" t="s">
        <v>301</v>
      </c>
      <c r="H63" s="5"/>
      <c r="I63" s="5" t="s">
        <v>304</v>
      </c>
      <c r="J63" s="5" t="s">
        <v>304</v>
      </c>
      <c r="K63" s="5" t="s">
        <v>301</v>
      </c>
      <c r="L63" s="5" t="s">
        <v>304</v>
      </c>
      <c r="M63" s="5" t="s">
        <v>383</v>
      </c>
      <c r="N63" s="5" t="s">
        <v>578</v>
      </c>
      <c r="O63" s="5" t="s">
        <v>307</v>
      </c>
      <c r="P63" s="5" t="s">
        <v>304</v>
      </c>
      <c r="Q63" s="5" t="s">
        <v>307</v>
      </c>
      <c r="R63" s="5" t="s">
        <v>304</v>
      </c>
      <c r="S63" s="5" t="s">
        <v>301</v>
      </c>
      <c r="T63" s="5" t="s">
        <v>579</v>
      </c>
      <c r="U63" s="5" t="s">
        <v>304</v>
      </c>
      <c r="V63" s="5" t="s">
        <v>304</v>
      </c>
      <c r="W63" s="5" t="s">
        <v>304</v>
      </c>
      <c r="X63" s="5" t="s">
        <v>307</v>
      </c>
      <c r="Y63" s="5" t="s">
        <v>304</v>
      </c>
      <c r="Z63" s="5" t="s">
        <v>304</v>
      </c>
      <c r="AA63" s="5" t="s">
        <v>304</v>
      </c>
      <c r="AB63" s="5" t="s">
        <v>304</v>
      </c>
      <c r="AC63" s="5" t="s">
        <v>497</v>
      </c>
      <c r="AD63" s="5" t="s">
        <v>301</v>
      </c>
      <c r="AE63" s="5" t="s">
        <v>334</v>
      </c>
      <c r="AF63" s="5" t="s">
        <v>411</v>
      </c>
      <c r="AG63" s="5" t="s">
        <v>411</v>
      </c>
      <c r="AH63" s="5" t="s">
        <v>411</v>
      </c>
      <c r="AI63" s="5"/>
    </row>
    <row r="64" spans="1:35" ht="27.75" customHeight="1">
      <c r="A64" s="5">
        <v>62</v>
      </c>
      <c r="B64" s="5" t="s">
        <v>297</v>
      </c>
      <c r="C64" s="5" t="s">
        <v>396</v>
      </c>
      <c r="D64" s="5" t="s">
        <v>337</v>
      </c>
      <c r="E64" s="5">
        <v>48</v>
      </c>
      <c r="F64" s="5" t="s">
        <v>300</v>
      </c>
      <c r="G64" s="5" t="s">
        <v>301</v>
      </c>
      <c r="H64" s="5" t="s">
        <v>328</v>
      </c>
      <c r="I64" s="5" t="s">
        <v>311</v>
      </c>
      <c r="J64" s="5" t="s">
        <v>310</v>
      </c>
      <c r="K64" s="5" t="s">
        <v>301</v>
      </c>
      <c r="L64" s="5" t="s">
        <v>304</v>
      </c>
      <c r="M64" s="5" t="s">
        <v>313</v>
      </c>
      <c r="N64" s="5" t="s">
        <v>304</v>
      </c>
      <c r="O64" s="5" t="s">
        <v>307</v>
      </c>
      <c r="P64" s="5" t="s">
        <v>580</v>
      </c>
      <c r="Q64" s="5" t="s">
        <v>301</v>
      </c>
      <c r="R64" s="5" t="s">
        <v>304</v>
      </c>
      <c r="S64" s="5" t="s">
        <v>301</v>
      </c>
      <c r="T64" s="5" t="s">
        <v>519</v>
      </c>
      <c r="U64" s="5" t="s">
        <v>581</v>
      </c>
      <c r="V64" s="5" t="s">
        <v>304</v>
      </c>
      <c r="W64" s="5" t="s">
        <v>304</v>
      </c>
      <c r="X64" s="5" t="s">
        <v>301</v>
      </c>
      <c r="Y64" s="5" t="s">
        <v>304</v>
      </c>
      <c r="Z64" s="5" t="s">
        <v>304</v>
      </c>
      <c r="AA64" s="5" t="s">
        <v>304</v>
      </c>
      <c r="AB64" s="5" t="s">
        <v>582</v>
      </c>
      <c r="AC64" s="5" t="s">
        <v>520</v>
      </c>
      <c r="AD64" s="5" t="s">
        <v>301</v>
      </c>
      <c r="AE64" s="5" t="s">
        <v>334</v>
      </c>
      <c r="AF64" s="5" t="s">
        <v>411</v>
      </c>
      <c r="AG64" s="5" t="s">
        <v>411</v>
      </c>
      <c r="AH64" s="5" t="s">
        <v>411</v>
      </c>
      <c r="AI64" s="5"/>
    </row>
    <row r="65" spans="1:35" ht="41.25" customHeight="1">
      <c r="A65" s="5">
        <v>63</v>
      </c>
      <c r="B65" s="5" t="s">
        <v>297</v>
      </c>
      <c r="C65" s="5" t="s">
        <v>583</v>
      </c>
      <c r="D65" s="5" t="s">
        <v>337</v>
      </c>
      <c r="E65" s="5">
        <v>73</v>
      </c>
      <c r="F65" s="5" t="s">
        <v>300</v>
      </c>
      <c r="G65" s="5" t="s">
        <v>301</v>
      </c>
      <c r="H65" s="5" t="s">
        <v>584</v>
      </c>
      <c r="I65" s="5" t="s">
        <v>304</v>
      </c>
      <c r="J65" s="5" t="s">
        <v>304</v>
      </c>
      <c r="K65" s="5" t="s">
        <v>301</v>
      </c>
      <c r="L65" s="5" t="s">
        <v>585</v>
      </c>
      <c r="M65" s="5" t="s">
        <v>313</v>
      </c>
      <c r="N65" s="5" t="s">
        <v>586</v>
      </c>
      <c r="O65" s="5" t="s">
        <v>307</v>
      </c>
      <c r="P65" s="5"/>
      <c r="Q65" s="5" t="s">
        <v>307</v>
      </c>
      <c r="R65" s="5" t="s">
        <v>587</v>
      </c>
      <c r="S65" s="5" t="s">
        <v>301</v>
      </c>
      <c r="T65" s="5" t="s">
        <v>588</v>
      </c>
      <c r="U65" s="5" t="s">
        <v>304</v>
      </c>
      <c r="V65" s="5" t="s">
        <v>304</v>
      </c>
      <c r="W65" s="5" t="s">
        <v>304</v>
      </c>
      <c r="X65" s="5" t="s">
        <v>301</v>
      </c>
      <c r="Y65" s="5" t="s">
        <v>304</v>
      </c>
      <c r="Z65" s="5" t="s">
        <v>304</v>
      </c>
      <c r="AA65" s="5" t="s">
        <v>304</v>
      </c>
      <c r="AB65" s="5" t="s">
        <v>589</v>
      </c>
      <c r="AC65" s="5" t="s">
        <v>317</v>
      </c>
      <c r="AD65" s="5" t="s">
        <v>301</v>
      </c>
      <c r="AE65" s="5" t="s">
        <v>334</v>
      </c>
      <c r="AF65" s="5" t="s">
        <v>411</v>
      </c>
      <c r="AG65" s="5" t="s">
        <v>411</v>
      </c>
      <c r="AH65" s="5" t="s">
        <v>411</v>
      </c>
      <c r="AI65" s="5"/>
    </row>
    <row r="66" spans="1:35" ht="54.75" customHeight="1">
      <c r="A66" s="5">
        <v>64</v>
      </c>
      <c r="B66" s="5" t="s">
        <v>297</v>
      </c>
      <c r="C66" s="5" t="s">
        <v>512</v>
      </c>
      <c r="D66" s="5" t="s">
        <v>488</v>
      </c>
      <c r="E66" s="5">
        <v>61</v>
      </c>
      <c r="F66" s="5" t="s">
        <v>300</v>
      </c>
      <c r="G66" s="5" t="s">
        <v>301</v>
      </c>
      <c r="H66" s="5" t="s">
        <v>590</v>
      </c>
      <c r="I66" s="5" t="s">
        <v>591</v>
      </c>
      <c r="J66" s="5" t="s">
        <v>592</v>
      </c>
      <c r="K66" s="5" t="s">
        <v>301</v>
      </c>
      <c r="L66" s="5" t="s">
        <v>304</v>
      </c>
      <c r="M66" s="5" t="s">
        <v>313</v>
      </c>
      <c r="N66" s="5" t="s">
        <v>593</v>
      </c>
      <c r="O66" s="5" t="s">
        <v>307</v>
      </c>
      <c r="P66" s="5" t="s">
        <v>594</v>
      </c>
      <c r="Q66" s="5" t="s">
        <v>301</v>
      </c>
      <c r="R66" s="5" t="s">
        <v>304</v>
      </c>
      <c r="S66" s="5" t="s">
        <v>307</v>
      </c>
      <c r="T66" s="5" t="s">
        <v>595</v>
      </c>
      <c r="U66" s="5" t="s">
        <v>304</v>
      </c>
      <c r="V66" s="5" t="s">
        <v>304</v>
      </c>
      <c r="W66" s="5" t="s">
        <v>304</v>
      </c>
      <c r="X66" s="5" t="s">
        <v>301</v>
      </c>
      <c r="Y66" s="5" t="s">
        <v>304</v>
      </c>
      <c r="Z66" s="5" t="s">
        <v>304</v>
      </c>
      <c r="AA66" s="5" t="s">
        <v>304</v>
      </c>
      <c r="AB66" s="5" t="s">
        <v>596</v>
      </c>
      <c r="AC66" s="5" t="s">
        <v>317</v>
      </c>
      <c r="AD66" s="5" t="s">
        <v>301</v>
      </c>
      <c r="AE66" s="5" t="s">
        <v>334</v>
      </c>
      <c r="AF66" s="5" t="s">
        <v>411</v>
      </c>
      <c r="AG66" s="5" t="s">
        <v>411</v>
      </c>
      <c r="AH66" s="5" t="s">
        <v>411</v>
      </c>
      <c r="AI66" s="5"/>
    </row>
    <row r="67" spans="1:35" ht="41.25" customHeight="1">
      <c r="A67" s="5">
        <v>65</v>
      </c>
      <c r="B67" s="5" t="s">
        <v>297</v>
      </c>
      <c r="C67" s="5" t="s">
        <v>500</v>
      </c>
      <c r="D67" s="5" t="s">
        <v>299</v>
      </c>
      <c r="E67" s="5">
        <v>27</v>
      </c>
      <c r="F67" s="5" t="s">
        <v>300</v>
      </c>
      <c r="G67" s="5" t="s">
        <v>307</v>
      </c>
      <c r="H67" s="5" t="s">
        <v>597</v>
      </c>
      <c r="I67" s="5" t="s">
        <v>304</v>
      </c>
      <c r="J67" s="5" t="s">
        <v>304</v>
      </c>
      <c r="K67" s="5" t="s">
        <v>301</v>
      </c>
      <c r="L67" s="5" t="s">
        <v>598</v>
      </c>
      <c r="M67" s="5" t="s">
        <v>306</v>
      </c>
      <c r="N67" s="5" t="s">
        <v>599</v>
      </c>
      <c r="O67" s="5" t="s">
        <v>307</v>
      </c>
      <c r="P67" s="5" t="s">
        <v>600</v>
      </c>
      <c r="Q67" s="5" t="s">
        <v>301</v>
      </c>
      <c r="R67" s="5" t="s">
        <v>304</v>
      </c>
      <c r="S67" s="5" t="s">
        <v>307</v>
      </c>
      <c r="T67" s="5" t="s">
        <v>539</v>
      </c>
      <c r="U67" s="5" t="s">
        <v>601</v>
      </c>
      <c r="V67" s="5" t="s">
        <v>304</v>
      </c>
      <c r="W67" s="5" t="s">
        <v>304</v>
      </c>
      <c r="X67" s="5" t="s">
        <v>307</v>
      </c>
      <c r="Y67" s="5" t="s">
        <v>304</v>
      </c>
      <c r="Z67" s="5" t="s">
        <v>304</v>
      </c>
      <c r="AA67" s="5" t="s">
        <v>304</v>
      </c>
      <c r="AB67" s="5" t="s">
        <v>602</v>
      </c>
      <c r="AC67" s="5" t="s">
        <v>520</v>
      </c>
      <c r="AD67" s="5" t="s">
        <v>301</v>
      </c>
      <c r="AE67" s="5" t="s">
        <v>334</v>
      </c>
      <c r="AF67" s="5" t="s">
        <v>411</v>
      </c>
      <c r="AG67" s="5" t="s">
        <v>411</v>
      </c>
      <c r="AH67" s="5" t="s">
        <v>411</v>
      </c>
      <c r="AI67" s="5"/>
    </row>
    <row r="68" spans="1:35" ht="41.25" customHeight="1">
      <c r="A68" s="5">
        <v>66</v>
      </c>
      <c r="B68" s="5" t="s">
        <v>297</v>
      </c>
      <c r="C68" s="5" t="s">
        <v>487</v>
      </c>
      <c r="D68" s="5" t="s">
        <v>488</v>
      </c>
      <c r="E68" s="5">
        <v>77</v>
      </c>
      <c r="F68" s="5" t="s">
        <v>300</v>
      </c>
      <c r="G68" s="5" t="s">
        <v>301</v>
      </c>
      <c r="H68" s="5" t="s">
        <v>603</v>
      </c>
      <c r="I68" s="5" t="s">
        <v>604</v>
      </c>
      <c r="J68" s="5" t="s">
        <v>304</v>
      </c>
      <c r="K68" s="5" t="s">
        <v>301</v>
      </c>
      <c r="L68" s="5" t="s">
        <v>304</v>
      </c>
      <c r="M68" s="5" t="s">
        <v>313</v>
      </c>
      <c r="N68" s="5" t="s">
        <v>605</v>
      </c>
      <c r="O68" s="5" t="s">
        <v>307</v>
      </c>
      <c r="P68" s="5" t="s">
        <v>304</v>
      </c>
      <c r="Q68" s="5" t="s">
        <v>301</v>
      </c>
      <c r="R68" s="5" t="s">
        <v>606</v>
      </c>
      <c r="S68" s="5" t="s">
        <v>301</v>
      </c>
      <c r="T68" s="5" t="s">
        <v>607</v>
      </c>
      <c r="U68" s="5" t="s">
        <v>608</v>
      </c>
      <c r="V68" s="5" t="s">
        <v>304</v>
      </c>
      <c r="W68" s="5" t="s">
        <v>304</v>
      </c>
      <c r="X68" s="5" t="s">
        <v>307</v>
      </c>
      <c r="Y68" s="5" t="s">
        <v>304</v>
      </c>
      <c r="Z68" s="5" t="s">
        <v>304</v>
      </c>
      <c r="AA68" s="5" t="s">
        <v>304</v>
      </c>
      <c r="AB68" s="5" t="s">
        <v>304</v>
      </c>
      <c r="AC68" s="5" t="s">
        <v>497</v>
      </c>
      <c r="AD68" s="5" t="s">
        <v>301</v>
      </c>
      <c r="AE68" s="5">
        <v>1</v>
      </c>
      <c r="AF68" s="5" t="s">
        <v>411</v>
      </c>
      <c r="AG68" s="5" t="s">
        <v>411</v>
      </c>
      <c r="AH68" s="5" t="s">
        <v>411</v>
      </c>
      <c r="AI68" s="5"/>
    </row>
    <row r="69" spans="1:35" ht="27.75" customHeight="1">
      <c r="A69" s="5">
        <v>67</v>
      </c>
      <c r="B69" s="5" t="s">
        <v>297</v>
      </c>
      <c r="C69" s="5" t="s">
        <v>609</v>
      </c>
      <c r="D69" s="5" t="s">
        <v>488</v>
      </c>
      <c r="E69" s="5">
        <v>32</v>
      </c>
      <c r="F69" s="5" t="s">
        <v>300</v>
      </c>
      <c r="G69" s="5" t="s">
        <v>307</v>
      </c>
      <c r="H69" s="5" t="s">
        <v>610</v>
      </c>
      <c r="I69" s="5" t="s">
        <v>304</v>
      </c>
      <c r="J69" s="5" t="s">
        <v>304</v>
      </c>
      <c r="K69" s="5" t="s">
        <v>301</v>
      </c>
      <c r="L69" s="5" t="s">
        <v>304</v>
      </c>
      <c r="M69" s="5" t="s">
        <v>306</v>
      </c>
      <c r="N69" s="5" t="s">
        <v>611</v>
      </c>
      <c r="O69" s="5" t="s">
        <v>304</v>
      </c>
      <c r="P69" s="5" t="s">
        <v>612</v>
      </c>
      <c r="Q69" s="5" t="s">
        <v>307</v>
      </c>
      <c r="R69" s="5" t="s">
        <v>613</v>
      </c>
      <c r="S69" s="5" t="s">
        <v>307</v>
      </c>
      <c r="T69" s="5" t="s">
        <v>614</v>
      </c>
      <c r="U69" s="5" t="s">
        <v>304</v>
      </c>
      <c r="V69" s="5" t="s">
        <v>304</v>
      </c>
      <c r="W69" s="5" t="s">
        <v>304</v>
      </c>
      <c r="X69" s="5" t="s">
        <v>307</v>
      </c>
      <c r="Y69" s="5" t="s">
        <v>304</v>
      </c>
      <c r="Z69" s="5" t="s">
        <v>304</v>
      </c>
      <c r="AA69" s="5" t="s">
        <v>304</v>
      </c>
      <c r="AB69" s="5" t="s">
        <v>615</v>
      </c>
      <c r="AC69" s="5" t="s">
        <v>497</v>
      </c>
      <c r="AD69" s="5" t="s">
        <v>301</v>
      </c>
      <c r="AE69" s="5" t="s">
        <v>334</v>
      </c>
      <c r="AF69" s="5" t="s">
        <v>411</v>
      </c>
      <c r="AG69" s="5" t="s">
        <v>411</v>
      </c>
      <c r="AH69" s="5" t="s">
        <v>411</v>
      </c>
      <c r="AI69" s="5"/>
    </row>
    <row r="70" spans="1:35" ht="41.25" customHeight="1">
      <c r="A70" s="5">
        <v>68</v>
      </c>
      <c r="B70" s="5" t="s">
        <v>297</v>
      </c>
      <c r="C70" s="5" t="s">
        <v>512</v>
      </c>
      <c r="D70" s="5" t="s">
        <v>488</v>
      </c>
      <c r="E70" s="5">
        <v>58</v>
      </c>
      <c r="F70" s="5" t="s">
        <v>300</v>
      </c>
      <c r="G70" s="5" t="s">
        <v>307</v>
      </c>
      <c r="H70" s="5" t="s">
        <v>616</v>
      </c>
      <c r="I70" s="5" t="s">
        <v>304</v>
      </c>
      <c r="J70" s="5" t="s">
        <v>304</v>
      </c>
      <c r="K70" s="5" t="s">
        <v>301</v>
      </c>
      <c r="L70" s="5" t="s">
        <v>304</v>
      </c>
      <c r="M70" s="5" t="s">
        <v>306</v>
      </c>
      <c r="N70" s="5" t="s">
        <v>617</v>
      </c>
      <c r="O70" s="5" t="s">
        <v>307</v>
      </c>
      <c r="P70" s="5" t="s">
        <v>618</v>
      </c>
      <c r="Q70" s="5" t="s">
        <v>307</v>
      </c>
      <c r="R70" s="5" t="s">
        <v>619</v>
      </c>
      <c r="S70" s="5" t="s">
        <v>301</v>
      </c>
      <c r="T70" s="5" t="s">
        <v>620</v>
      </c>
      <c r="U70" s="5" t="s">
        <v>304</v>
      </c>
      <c r="V70" s="5" t="s">
        <v>304</v>
      </c>
      <c r="W70" s="5" t="s">
        <v>304</v>
      </c>
      <c r="X70" s="5" t="s">
        <v>307</v>
      </c>
      <c r="Y70" s="5" t="s">
        <v>304</v>
      </c>
      <c r="Z70" s="5" t="s">
        <v>304</v>
      </c>
      <c r="AA70" s="5" t="s">
        <v>304</v>
      </c>
      <c r="AB70" s="5" t="s">
        <v>621</v>
      </c>
      <c r="AC70" s="5" t="s">
        <v>497</v>
      </c>
      <c r="AD70" s="5" t="s">
        <v>301</v>
      </c>
      <c r="AE70" s="5" t="s">
        <v>334</v>
      </c>
      <c r="AF70" s="5" t="s">
        <v>411</v>
      </c>
      <c r="AG70" s="5" t="s">
        <v>411</v>
      </c>
      <c r="AH70" s="5" t="s">
        <v>411</v>
      </c>
      <c r="AI70" s="5"/>
    </row>
    <row r="71" spans="1:35" ht="41.25" customHeight="1">
      <c r="A71" s="5">
        <v>69</v>
      </c>
      <c r="B71" s="5" t="s">
        <v>297</v>
      </c>
      <c r="C71" s="5" t="s">
        <v>609</v>
      </c>
      <c r="D71" s="5" t="s">
        <v>488</v>
      </c>
      <c r="E71" s="5">
        <v>35</v>
      </c>
      <c r="F71" s="5" t="s">
        <v>300</v>
      </c>
      <c r="G71" s="5" t="s">
        <v>307</v>
      </c>
      <c r="H71" s="5" t="s">
        <v>621</v>
      </c>
      <c r="I71" s="5" t="s">
        <v>330</v>
      </c>
      <c r="J71" s="5" t="s">
        <v>304</v>
      </c>
      <c r="K71" s="5" t="s">
        <v>301</v>
      </c>
      <c r="L71" s="5" t="s">
        <v>304</v>
      </c>
      <c r="M71" s="5" t="s">
        <v>306</v>
      </c>
      <c r="N71" s="5" t="s">
        <v>622</v>
      </c>
      <c r="O71" s="5" t="s">
        <v>307</v>
      </c>
      <c r="P71" s="5" t="s">
        <v>623</v>
      </c>
      <c r="Q71" s="5" t="s">
        <v>301</v>
      </c>
      <c r="R71" s="5" t="s">
        <v>624</v>
      </c>
      <c r="S71" s="5" t="s">
        <v>301</v>
      </c>
      <c r="T71" s="5" t="s">
        <v>625</v>
      </c>
      <c r="U71" s="5" t="s">
        <v>626</v>
      </c>
      <c r="V71" s="5" t="s">
        <v>304</v>
      </c>
      <c r="W71" s="5" t="s">
        <v>304</v>
      </c>
      <c r="X71" s="5" t="s">
        <v>307</v>
      </c>
      <c r="Y71" s="5" t="s">
        <v>304</v>
      </c>
      <c r="Z71" s="5" t="s">
        <v>304</v>
      </c>
      <c r="AA71" s="5" t="s">
        <v>304</v>
      </c>
      <c r="AB71" s="5" t="s">
        <v>627</v>
      </c>
      <c r="AC71" s="5" t="s">
        <v>497</v>
      </c>
      <c r="AD71" s="5" t="s">
        <v>301</v>
      </c>
      <c r="AE71" s="5" t="s">
        <v>334</v>
      </c>
      <c r="AF71" s="5" t="s">
        <v>411</v>
      </c>
      <c r="AG71" s="5" t="s">
        <v>411</v>
      </c>
      <c r="AH71" s="5" t="s">
        <v>411</v>
      </c>
      <c r="AI71" s="5"/>
    </row>
    <row r="72" spans="1:35" ht="41.25" customHeight="1">
      <c r="A72" s="5">
        <v>70</v>
      </c>
      <c r="B72" s="5" t="s">
        <v>297</v>
      </c>
      <c r="C72" s="5" t="s">
        <v>628</v>
      </c>
      <c r="D72" s="5" t="s">
        <v>337</v>
      </c>
      <c r="E72" s="5">
        <v>70</v>
      </c>
      <c r="F72" s="5" t="s">
        <v>300</v>
      </c>
      <c r="G72" s="5" t="s">
        <v>301</v>
      </c>
      <c r="H72" s="5" t="s">
        <v>507</v>
      </c>
      <c r="I72" s="5" t="s">
        <v>629</v>
      </c>
      <c r="J72" s="5" t="s">
        <v>304</v>
      </c>
      <c r="K72" s="5" t="s">
        <v>301</v>
      </c>
      <c r="L72" s="5" t="s">
        <v>304</v>
      </c>
      <c r="M72" s="5" t="s">
        <v>313</v>
      </c>
      <c r="N72" s="5" t="s">
        <v>630</v>
      </c>
      <c r="O72" s="5" t="s">
        <v>307</v>
      </c>
      <c r="P72" s="5" t="s">
        <v>631</v>
      </c>
      <c r="Q72" s="5" t="s">
        <v>301</v>
      </c>
      <c r="R72" s="5" t="s">
        <v>304</v>
      </c>
      <c r="S72" s="5" t="s">
        <v>301</v>
      </c>
      <c r="T72" s="5" t="s">
        <v>632</v>
      </c>
      <c r="U72" s="5" t="s">
        <v>633</v>
      </c>
      <c r="V72" s="5" t="s">
        <v>304</v>
      </c>
      <c r="W72" s="5" t="s">
        <v>304</v>
      </c>
      <c r="X72" s="5" t="s">
        <v>307</v>
      </c>
      <c r="Y72" s="5" t="s">
        <v>304</v>
      </c>
      <c r="Z72" s="5" t="s">
        <v>304</v>
      </c>
      <c r="AA72" s="5" t="s">
        <v>304</v>
      </c>
      <c r="AB72" s="5" t="s">
        <v>621</v>
      </c>
      <c r="AC72" s="5" t="s">
        <v>497</v>
      </c>
      <c r="AD72" s="5" t="s">
        <v>301</v>
      </c>
      <c r="AE72" s="5" t="s">
        <v>334</v>
      </c>
      <c r="AF72" s="5" t="s">
        <v>411</v>
      </c>
      <c r="AG72" s="5" t="s">
        <v>411</v>
      </c>
      <c r="AH72" s="5" t="s">
        <v>411</v>
      </c>
      <c r="AI72" s="5"/>
    </row>
    <row r="73" spans="1:35" ht="27.75" customHeight="1">
      <c r="A73" s="5">
        <v>71</v>
      </c>
      <c r="B73" s="5" t="s">
        <v>297</v>
      </c>
      <c r="C73" s="5" t="s">
        <v>487</v>
      </c>
      <c r="D73" s="5" t="s">
        <v>488</v>
      </c>
      <c r="E73" s="5">
        <v>40</v>
      </c>
      <c r="F73" s="5" t="s">
        <v>300</v>
      </c>
      <c r="G73" s="5" t="s">
        <v>307</v>
      </c>
      <c r="H73" s="5" t="s">
        <v>634</v>
      </c>
      <c r="I73" s="5" t="s">
        <v>330</v>
      </c>
      <c r="J73" s="5" t="s">
        <v>304</v>
      </c>
      <c r="K73" s="5" t="s">
        <v>301</v>
      </c>
      <c r="L73" s="5" t="s">
        <v>304</v>
      </c>
      <c r="M73" s="5" t="s">
        <v>306</v>
      </c>
      <c r="N73" s="5" t="s">
        <v>635</v>
      </c>
      <c r="O73" s="5" t="s">
        <v>304</v>
      </c>
      <c r="P73" s="5" t="s">
        <v>636</v>
      </c>
      <c r="Q73" s="5" t="s">
        <v>301</v>
      </c>
      <c r="R73" s="5" t="s">
        <v>637</v>
      </c>
      <c r="S73" s="5" t="s">
        <v>307</v>
      </c>
      <c r="T73" s="5" t="s">
        <v>638</v>
      </c>
      <c r="U73" s="5" t="s">
        <v>304</v>
      </c>
      <c r="V73" s="5" t="s">
        <v>304</v>
      </c>
      <c r="W73" s="5" t="s">
        <v>304</v>
      </c>
      <c r="X73" s="5" t="s">
        <v>307</v>
      </c>
      <c r="Y73" s="5" t="s">
        <v>304</v>
      </c>
      <c r="Z73" s="5" t="s">
        <v>304</v>
      </c>
      <c r="AA73" s="5" t="s">
        <v>304</v>
      </c>
      <c r="AB73" s="5" t="s">
        <v>639</v>
      </c>
      <c r="AC73" s="5" t="s">
        <v>497</v>
      </c>
      <c r="AD73" s="5" t="s">
        <v>301</v>
      </c>
      <c r="AE73" s="5" t="s">
        <v>334</v>
      </c>
      <c r="AF73" s="5" t="s">
        <v>411</v>
      </c>
      <c r="AG73" s="5" t="s">
        <v>411</v>
      </c>
      <c r="AH73" s="5" t="s">
        <v>411</v>
      </c>
      <c r="AI73" s="5"/>
    </row>
    <row r="74" spans="1:35" ht="27.75" customHeight="1">
      <c r="A74" s="5">
        <v>72</v>
      </c>
      <c r="B74" s="5" t="s">
        <v>297</v>
      </c>
      <c r="C74" s="5" t="s">
        <v>609</v>
      </c>
      <c r="D74" s="5" t="s">
        <v>488</v>
      </c>
      <c r="E74" s="5">
        <v>30</v>
      </c>
      <c r="F74" s="5" t="s">
        <v>300</v>
      </c>
      <c r="G74" s="5" t="s">
        <v>307</v>
      </c>
      <c r="H74" s="5" t="s">
        <v>621</v>
      </c>
      <c r="I74" s="5" t="s">
        <v>330</v>
      </c>
      <c r="J74" s="5" t="s">
        <v>304</v>
      </c>
      <c r="K74" s="5" t="s">
        <v>301</v>
      </c>
      <c r="L74" s="5" t="s">
        <v>640</v>
      </c>
      <c r="M74" s="5" t="s">
        <v>306</v>
      </c>
      <c r="N74" s="5" t="s">
        <v>641</v>
      </c>
      <c r="O74" s="5" t="s">
        <v>307</v>
      </c>
      <c r="P74" s="5" t="s">
        <v>642</v>
      </c>
      <c r="Q74" s="5" t="s">
        <v>301</v>
      </c>
      <c r="R74" s="5" t="s">
        <v>304</v>
      </c>
      <c r="S74" s="5" t="s">
        <v>307</v>
      </c>
      <c r="T74" s="5" t="s">
        <v>643</v>
      </c>
      <c r="U74" s="5" t="s">
        <v>304</v>
      </c>
      <c r="V74" s="5" t="s">
        <v>304</v>
      </c>
      <c r="W74" s="5" t="s">
        <v>304</v>
      </c>
      <c r="X74" s="5" t="s">
        <v>307</v>
      </c>
      <c r="Y74" s="5" t="s">
        <v>304</v>
      </c>
      <c r="Z74" s="5" t="s">
        <v>304</v>
      </c>
      <c r="AA74" s="5" t="s">
        <v>304</v>
      </c>
      <c r="AB74" s="5" t="s">
        <v>575</v>
      </c>
      <c r="AC74" s="5" t="s">
        <v>497</v>
      </c>
      <c r="AD74" s="5" t="s">
        <v>301</v>
      </c>
      <c r="AE74" s="5" t="s">
        <v>334</v>
      </c>
      <c r="AF74" s="5" t="s">
        <v>411</v>
      </c>
      <c r="AG74" s="5" t="s">
        <v>411</v>
      </c>
      <c r="AH74" s="5" t="s">
        <v>411</v>
      </c>
      <c r="AI74" s="5"/>
    </row>
    <row r="75" spans="1:35" ht="41.25" customHeight="1">
      <c r="A75" s="5">
        <v>73</v>
      </c>
      <c r="B75" s="5" t="s">
        <v>297</v>
      </c>
      <c r="C75" s="5" t="s">
        <v>500</v>
      </c>
      <c r="D75" s="5" t="s">
        <v>299</v>
      </c>
      <c r="E75" s="5">
        <v>40</v>
      </c>
      <c r="F75" s="5" t="s">
        <v>300</v>
      </c>
      <c r="G75" s="5" t="s">
        <v>307</v>
      </c>
      <c r="H75" s="5" t="s">
        <v>644</v>
      </c>
      <c r="I75" s="5" t="s">
        <v>330</v>
      </c>
      <c r="J75" s="5" t="s">
        <v>304</v>
      </c>
      <c r="K75" s="5" t="s">
        <v>301</v>
      </c>
      <c r="L75" s="5" t="s">
        <v>645</v>
      </c>
      <c r="M75" s="5" t="s">
        <v>306</v>
      </c>
      <c r="N75" s="5" t="s">
        <v>646</v>
      </c>
      <c r="O75" s="5" t="s">
        <v>307</v>
      </c>
      <c r="P75" s="5" t="s">
        <v>647</v>
      </c>
      <c r="Q75" s="5" t="s">
        <v>301</v>
      </c>
      <c r="R75" s="5" t="s">
        <v>304</v>
      </c>
      <c r="S75" s="5" t="s">
        <v>307</v>
      </c>
      <c r="T75" s="5" t="s">
        <v>539</v>
      </c>
      <c r="U75" s="5" t="s">
        <v>304</v>
      </c>
      <c r="V75" s="5" t="s">
        <v>304</v>
      </c>
      <c r="W75" s="5" t="s">
        <v>304</v>
      </c>
      <c r="X75" s="5" t="s">
        <v>307</v>
      </c>
      <c r="Y75" s="5" t="s">
        <v>304</v>
      </c>
      <c r="Z75" s="5" t="s">
        <v>304</v>
      </c>
      <c r="AA75" s="5" t="s">
        <v>304</v>
      </c>
      <c r="AB75" s="5" t="s">
        <v>648</v>
      </c>
      <c r="AC75" s="5" t="s">
        <v>497</v>
      </c>
      <c r="AD75" s="5" t="s">
        <v>307</v>
      </c>
      <c r="AE75" s="5" t="s">
        <v>334</v>
      </c>
      <c r="AF75" s="5" t="s">
        <v>411</v>
      </c>
      <c r="AG75" s="5" t="s">
        <v>411</v>
      </c>
      <c r="AH75" s="5" t="s">
        <v>411</v>
      </c>
      <c r="AI75" s="5"/>
    </row>
    <row r="76" spans="1:35" ht="54.75" customHeight="1">
      <c r="A76" s="5">
        <v>74</v>
      </c>
      <c r="B76" s="5" t="s">
        <v>297</v>
      </c>
      <c r="C76" s="5" t="s">
        <v>512</v>
      </c>
      <c r="D76" s="5" t="s">
        <v>488</v>
      </c>
      <c r="E76" s="5">
        <v>28</v>
      </c>
      <c r="F76" s="5" t="s">
        <v>300</v>
      </c>
      <c r="G76" s="5" t="s">
        <v>307</v>
      </c>
      <c r="H76" s="5" t="s">
        <v>534</v>
      </c>
      <c r="I76" s="5" t="s">
        <v>304</v>
      </c>
      <c r="J76" s="5" t="s">
        <v>304</v>
      </c>
      <c r="K76" s="5" t="s">
        <v>301</v>
      </c>
      <c r="L76" s="5" t="s">
        <v>649</v>
      </c>
      <c r="M76" s="5" t="s">
        <v>306</v>
      </c>
      <c r="N76" s="5" t="s">
        <v>650</v>
      </c>
      <c r="O76" s="5" t="s">
        <v>307</v>
      </c>
      <c r="P76" s="5" t="s">
        <v>651</v>
      </c>
      <c r="Q76" s="5" t="s">
        <v>301</v>
      </c>
      <c r="R76" s="5" t="s">
        <v>304</v>
      </c>
      <c r="S76" s="5" t="s">
        <v>307</v>
      </c>
      <c r="T76" s="5" t="s">
        <v>539</v>
      </c>
      <c r="U76" s="5" t="s">
        <v>304</v>
      </c>
      <c r="V76" s="5" t="s">
        <v>304</v>
      </c>
      <c r="W76" s="5" t="s">
        <v>304</v>
      </c>
      <c r="X76" s="5" t="s">
        <v>307</v>
      </c>
      <c r="Y76" s="5" t="s">
        <v>304</v>
      </c>
      <c r="Z76" s="5" t="s">
        <v>304</v>
      </c>
      <c r="AA76" s="5" t="s">
        <v>304</v>
      </c>
      <c r="AB76" s="5" t="s">
        <v>652</v>
      </c>
      <c r="AC76" s="5" t="s">
        <v>497</v>
      </c>
      <c r="AD76" s="5" t="s">
        <v>301</v>
      </c>
      <c r="AE76" s="5" t="s">
        <v>334</v>
      </c>
      <c r="AF76" s="5" t="s">
        <v>411</v>
      </c>
      <c r="AG76" s="5" t="s">
        <v>411</v>
      </c>
      <c r="AH76" s="5" t="s">
        <v>411</v>
      </c>
      <c r="AI76" s="5"/>
    </row>
    <row r="77" spans="1:35" ht="27.75" customHeight="1">
      <c r="A77" s="5">
        <v>75</v>
      </c>
      <c r="B77" s="5" t="s">
        <v>297</v>
      </c>
      <c r="C77" s="5" t="s">
        <v>609</v>
      </c>
      <c r="D77" s="5" t="s">
        <v>488</v>
      </c>
      <c r="E77" s="5">
        <v>40</v>
      </c>
      <c r="F77" s="5" t="s">
        <v>300</v>
      </c>
      <c r="G77" s="5" t="s">
        <v>307</v>
      </c>
      <c r="H77" s="5" t="s">
        <v>634</v>
      </c>
      <c r="I77" s="5" t="s">
        <v>304</v>
      </c>
      <c r="J77" s="5" t="s">
        <v>304</v>
      </c>
      <c r="K77" s="5" t="s">
        <v>301</v>
      </c>
      <c r="L77" s="5" t="s">
        <v>304</v>
      </c>
      <c r="M77" s="5" t="s">
        <v>306</v>
      </c>
      <c r="N77" s="5" t="s">
        <v>653</v>
      </c>
      <c r="O77" s="5" t="s">
        <v>307</v>
      </c>
      <c r="P77" s="5" t="s">
        <v>654</v>
      </c>
      <c r="Q77" s="5" t="s">
        <v>307</v>
      </c>
      <c r="R77" s="5" t="s">
        <v>655</v>
      </c>
      <c r="S77" s="5" t="s">
        <v>307</v>
      </c>
      <c r="T77" s="5" t="s">
        <v>304</v>
      </c>
      <c r="U77" s="5" t="s">
        <v>304</v>
      </c>
      <c r="V77" s="5" t="s">
        <v>304</v>
      </c>
      <c r="W77" s="5" t="s">
        <v>304</v>
      </c>
      <c r="X77" s="5" t="s">
        <v>307</v>
      </c>
      <c r="Y77" s="5" t="s">
        <v>304</v>
      </c>
      <c r="Z77" s="5" t="s">
        <v>304</v>
      </c>
      <c r="AA77" s="5" t="s">
        <v>304</v>
      </c>
      <c r="AB77" s="5" t="s">
        <v>656</v>
      </c>
      <c r="AC77" s="5" t="s">
        <v>497</v>
      </c>
      <c r="AD77" s="5" t="s">
        <v>301</v>
      </c>
      <c r="AE77" s="5" t="s">
        <v>334</v>
      </c>
      <c r="AF77" s="5" t="s">
        <v>411</v>
      </c>
      <c r="AG77" s="5" t="s">
        <v>411</v>
      </c>
      <c r="AH77" s="5" t="s">
        <v>411</v>
      </c>
      <c r="AI77" s="5"/>
    </row>
    <row r="78" spans="1:35" ht="41.25" customHeight="1">
      <c r="A78" s="5">
        <v>76</v>
      </c>
      <c r="B78" s="5" t="s">
        <v>297</v>
      </c>
      <c r="C78" s="5" t="s">
        <v>487</v>
      </c>
      <c r="D78" s="5" t="s">
        <v>488</v>
      </c>
      <c r="E78" s="5">
        <v>35</v>
      </c>
      <c r="F78" s="5" t="s">
        <v>300</v>
      </c>
      <c r="G78" s="5" t="s">
        <v>307</v>
      </c>
      <c r="H78" s="5" t="s">
        <v>621</v>
      </c>
      <c r="I78" s="5" t="s">
        <v>304</v>
      </c>
      <c r="J78" s="5" t="s">
        <v>304</v>
      </c>
      <c r="K78" s="5" t="s">
        <v>301</v>
      </c>
      <c r="L78" s="5" t="s">
        <v>304</v>
      </c>
      <c r="M78" s="5" t="s">
        <v>306</v>
      </c>
      <c r="N78" s="5" t="s">
        <v>657</v>
      </c>
      <c r="O78" s="5" t="s">
        <v>307</v>
      </c>
      <c r="P78" s="5" t="s">
        <v>658</v>
      </c>
      <c r="Q78" s="5" t="s">
        <v>301</v>
      </c>
      <c r="R78" s="5" t="s">
        <v>304</v>
      </c>
      <c r="S78" s="5" t="s">
        <v>301</v>
      </c>
      <c r="T78" s="5" t="s">
        <v>659</v>
      </c>
      <c r="U78" s="5" t="s">
        <v>660</v>
      </c>
      <c r="V78" s="5" t="s">
        <v>661</v>
      </c>
      <c r="W78" s="5" t="s">
        <v>304</v>
      </c>
      <c r="X78" s="5" t="s">
        <v>307</v>
      </c>
      <c r="Y78" s="5" t="s">
        <v>304</v>
      </c>
      <c r="Z78" s="5" t="s">
        <v>304</v>
      </c>
      <c r="AA78" s="5" t="s">
        <v>304</v>
      </c>
      <c r="AB78" s="5" t="s">
        <v>662</v>
      </c>
      <c r="AC78" s="5" t="s">
        <v>497</v>
      </c>
      <c r="AD78" s="5" t="s">
        <v>307</v>
      </c>
      <c r="AE78" s="5" t="s">
        <v>334</v>
      </c>
      <c r="AF78" s="5" t="s">
        <v>411</v>
      </c>
      <c r="AG78" s="5" t="s">
        <v>411</v>
      </c>
      <c r="AH78" s="5" t="s">
        <v>411</v>
      </c>
      <c r="AI78" s="5"/>
    </row>
    <row r="79" spans="1:35" ht="27.75" customHeight="1">
      <c r="A79" s="5">
        <v>77</v>
      </c>
      <c r="B79" s="5" t="s">
        <v>297</v>
      </c>
      <c r="C79" s="5" t="s">
        <v>609</v>
      </c>
      <c r="D79" s="5" t="s">
        <v>488</v>
      </c>
      <c r="E79" s="5">
        <v>29</v>
      </c>
      <c r="F79" s="5" t="s">
        <v>300</v>
      </c>
      <c r="G79" s="5" t="s">
        <v>301</v>
      </c>
      <c r="H79" s="5" t="s">
        <v>663</v>
      </c>
      <c r="I79" s="5" t="s">
        <v>664</v>
      </c>
      <c r="J79" s="5" t="s">
        <v>304</v>
      </c>
      <c r="K79" s="5" t="s">
        <v>301</v>
      </c>
      <c r="L79" s="5"/>
      <c r="M79" s="5" t="s">
        <v>306</v>
      </c>
      <c r="N79" s="5" t="s">
        <v>665</v>
      </c>
      <c r="O79" s="5" t="s">
        <v>307</v>
      </c>
      <c r="P79" s="5" t="s">
        <v>666</v>
      </c>
      <c r="Q79" s="5" t="s">
        <v>307</v>
      </c>
      <c r="R79" s="5" t="s">
        <v>667</v>
      </c>
      <c r="S79" s="5" t="s">
        <v>301</v>
      </c>
      <c r="T79" s="5" t="s">
        <v>668</v>
      </c>
      <c r="U79" s="5" t="s">
        <v>304</v>
      </c>
      <c r="V79" s="5" t="s">
        <v>304</v>
      </c>
      <c r="W79" s="5" t="s">
        <v>304</v>
      </c>
      <c r="X79" s="5" t="s">
        <v>307</v>
      </c>
      <c r="Y79" s="5" t="s">
        <v>304</v>
      </c>
      <c r="Z79" s="5" t="s">
        <v>304</v>
      </c>
      <c r="AA79" s="5" t="s">
        <v>304</v>
      </c>
      <c r="AB79" s="5" t="s">
        <v>669</v>
      </c>
      <c r="AC79" s="5" t="s">
        <v>497</v>
      </c>
      <c r="AD79" s="5" t="s">
        <v>301</v>
      </c>
      <c r="AE79" s="5" t="s">
        <v>411</v>
      </c>
      <c r="AF79" s="5" t="s">
        <v>411</v>
      </c>
      <c r="AG79" s="5" t="s">
        <v>411</v>
      </c>
      <c r="AH79" s="5" t="s">
        <v>411</v>
      </c>
      <c r="AI79" s="5"/>
    </row>
    <row r="80" spans="1:35" ht="41.25" customHeight="1">
      <c r="A80" s="5">
        <v>78</v>
      </c>
      <c r="B80" s="5" t="s">
        <v>297</v>
      </c>
      <c r="C80" s="5" t="s">
        <v>609</v>
      </c>
      <c r="D80" s="5" t="s">
        <v>488</v>
      </c>
      <c r="E80" s="5">
        <v>65</v>
      </c>
      <c r="F80" s="5" t="s">
        <v>300</v>
      </c>
      <c r="G80" s="5" t="s">
        <v>307</v>
      </c>
      <c r="H80" s="5" t="s">
        <v>670</v>
      </c>
      <c r="I80" s="5"/>
      <c r="J80" s="5" t="s">
        <v>304</v>
      </c>
      <c r="K80" s="5" t="s">
        <v>301</v>
      </c>
      <c r="L80" s="5" t="s">
        <v>304</v>
      </c>
      <c r="M80" s="5" t="s">
        <v>306</v>
      </c>
      <c r="N80" s="5" t="s">
        <v>671</v>
      </c>
      <c r="O80" s="5" t="s">
        <v>307</v>
      </c>
      <c r="P80" s="5" t="s">
        <v>672</v>
      </c>
      <c r="Q80" s="5" t="s">
        <v>301</v>
      </c>
      <c r="R80" s="5" t="s">
        <v>673</v>
      </c>
      <c r="S80" s="5" t="s">
        <v>307</v>
      </c>
      <c r="T80" s="5" t="s">
        <v>674</v>
      </c>
      <c r="U80" s="5" t="s">
        <v>304</v>
      </c>
      <c r="V80" s="5" t="s">
        <v>304</v>
      </c>
      <c r="W80" s="5" t="s">
        <v>304</v>
      </c>
      <c r="X80" s="5" t="s">
        <v>307</v>
      </c>
      <c r="Y80" s="5" t="s">
        <v>304</v>
      </c>
      <c r="Z80" s="5" t="s">
        <v>304</v>
      </c>
      <c r="AA80" s="5" t="s">
        <v>304</v>
      </c>
      <c r="AB80" s="5" t="s">
        <v>675</v>
      </c>
      <c r="AC80" s="5" t="s">
        <v>497</v>
      </c>
      <c r="AD80" s="5" t="s">
        <v>301</v>
      </c>
      <c r="AE80" s="5" t="s">
        <v>334</v>
      </c>
      <c r="AF80" s="5" t="s">
        <v>411</v>
      </c>
      <c r="AG80" s="5" t="s">
        <v>411</v>
      </c>
      <c r="AH80" s="5" t="s">
        <v>411</v>
      </c>
      <c r="AI80" s="5"/>
    </row>
    <row r="81" spans="1:35" ht="54.75" customHeight="1">
      <c r="A81" s="5">
        <v>79</v>
      </c>
      <c r="B81" s="5" t="s">
        <v>297</v>
      </c>
      <c r="C81" s="5" t="s">
        <v>512</v>
      </c>
      <c r="D81" s="5" t="s">
        <v>488</v>
      </c>
      <c r="E81" s="5">
        <v>43</v>
      </c>
      <c r="F81" s="5" t="s">
        <v>300</v>
      </c>
      <c r="G81" s="5" t="s">
        <v>307</v>
      </c>
      <c r="H81" s="5" t="s">
        <v>676</v>
      </c>
      <c r="I81" s="5" t="s">
        <v>304</v>
      </c>
      <c r="J81" s="5" t="s">
        <v>304</v>
      </c>
      <c r="K81" s="5" t="s">
        <v>301</v>
      </c>
      <c r="L81" s="5" t="s">
        <v>304</v>
      </c>
      <c r="M81" s="5" t="s">
        <v>306</v>
      </c>
      <c r="N81" s="5" t="s">
        <v>677</v>
      </c>
      <c r="O81" s="5" t="s">
        <v>307</v>
      </c>
      <c r="P81" s="5" t="s">
        <v>678</v>
      </c>
      <c r="Q81" s="5" t="s">
        <v>307</v>
      </c>
      <c r="R81" s="5" t="s">
        <v>679</v>
      </c>
      <c r="S81" s="5" t="s">
        <v>307</v>
      </c>
      <c r="T81" s="5" t="s">
        <v>680</v>
      </c>
      <c r="U81" s="5" t="s">
        <v>304</v>
      </c>
      <c r="V81" s="5" t="s">
        <v>304</v>
      </c>
      <c r="W81" s="5" t="s">
        <v>304</v>
      </c>
      <c r="X81" s="5" t="s">
        <v>307</v>
      </c>
      <c r="Y81" s="5" t="s">
        <v>304</v>
      </c>
      <c r="Z81" s="5" t="s">
        <v>304</v>
      </c>
      <c r="AA81" s="5" t="s">
        <v>304</v>
      </c>
      <c r="AB81" s="5" t="s">
        <v>681</v>
      </c>
      <c r="AC81" s="5" t="s">
        <v>497</v>
      </c>
      <c r="AD81" s="5" t="s">
        <v>307</v>
      </c>
      <c r="AE81" s="5" t="s">
        <v>334</v>
      </c>
      <c r="AF81" s="5" t="s">
        <v>411</v>
      </c>
      <c r="AG81" s="5" t="s">
        <v>411</v>
      </c>
      <c r="AH81" s="5" t="s">
        <v>411</v>
      </c>
      <c r="AI81" s="5"/>
    </row>
    <row r="82" spans="1:35" ht="54.75" customHeight="1">
      <c r="A82" s="5">
        <v>80</v>
      </c>
      <c r="B82" s="5" t="s">
        <v>297</v>
      </c>
      <c r="C82" s="5" t="s">
        <v>487</v>
      </c>
      <c r="D82" s="5" t="s">
        <v>488</v>
      </c>
      <c r="E82" s="5">
        <v>32</v>
      </c>
      <c r="F82" s="5" t="s">
        <v>300</v>
      </c>
      <c r="G82" s="5" t="s">
        <v>307</v>
      </c>
      <c r="H82" s="5" t="s">
        <v>534</v>
      </c>
      <c r="I82" s="5" t="s">
        <v>304</v>
      </c>
      <c r="J82" s="5" t="s">
        <v>304</v>
      </c>
      <c r="K82" s="5" t="s">
        <v>301</v>
      </c>
      <c r="L82" s="5" t="s">
        <v>304</v>
      </c>
      <c r="M82" s="5" t="s">
        <v>306</v>
      </c>
      <c r="N82" s="5" t="s">
        <v>682</v>
      </c>
      <c r="O82" s="5" t="s">
        <v>307</v>
      </c>
      <c r="P82" s="5" t="s">
        <v>683</v>
      </c>
      <c r="Q82" s="5" t="s">
        <v>307</v>
      </c>
      <c r="R82" s="5" t="s">
        <v>684</v>
      </c>
      <c r="S82" s="5" t="s">
        <v>307</v>
      </c>
      <c r="T82" s="5" t="s">
        <v>685</v>
      </c>
      <c r="U82" s="5" t="s">
        <v>304</v>
      </c>
      <c r="V82" s="5" t="s">
        <v>304</v>
      </c>
      <c r="W82" s="5" t="s">
        <v>304</v>
      </c>
      <c r="X82" s="5" t="s">
        <v>301</v>
      </c>
      <c r="Y82" s="5" t="s">
        <v>304</v>
      </c>
      <c r="Z82" s="5" t="s">
        <v>304</v>
      </c>
      <c r="AA82" s="5" t="s">
        <v>304</v>
      </c>
      <c r="AB82" s="5" t="s">
        <v>686</v>
      </c>
      <c r="AC82" s="5" t="s">
        <v>497</v>
      </c>
      <c r="AD82" s="5" t="s">
        <v>307</v>
      </c>
      <c r="AE82" s="5" t="s">
        <v>334</v>
      </c>
      <c r="AF82" s="5" t="s">
        <v>411</v>
      </c>
      <c r="AG82" s="5" t="s">
        <v>411</v>
      </c>
      <c r="AH82" s="5" t="s">
        <v>411</v>
      </c>
      <c r="AI82" s="5"/>
    </row>
    <row r="83" spans="1:35" ht="27.75" customHeight="1">
      <c r="A83" s="5">
        <v>81</v>
      </c>
      <c r="B83" s="5" t="s">
        <v>297</v>
      </c>
      <c r="C83" s="5" t="s">
        <v>500</v>
      </c>
      <c r="D83" s="5" t="s">
        <v>299</v>
      </c>
      <c r="E83" s="5">
        <v>29</v>
      </c>
      <c r="F83" s="5" t="s">
        <v>300</v>
      </c>
      <c r="G83" s="5" t="s">
        <v>307</v>
      </c>
      <c r="H83" s="5" t="s">
        <v>621</v>
      </c>
      <c r="I83" s="5" t="s">
        <v>304</v>
      </c>
      <c r="J83" s="5" t="s">
        <v>304</v>
      </c>
      <c r="K83" s="5" t="s">
        <v>301</v>
      </c>
      <c r="L83" s="5" t="s">
        <v>304</v>
      </c>
      <c r="M83" s="5" t="s">
        <v>306</v>
      </c>
      <c r="N83" s="5" t="s">
        <v>687</v>
      </c>
      <c r="O83" s="5" t="s">
        <v>301</v>
      </c>
      <c r="P83" s="5" t="s">
        <v>688</v>
      </c>
      <c r="Q83" s="5" t="s">
        <v>301</v>
      </c>
      <c r="R83" s="5" t="s">
        <v>689</v>
      </c>
      <c r="S83" s="5" t="s">
        <v>307</v>
      </c>
      <c r="T83" s="5" t="s">
        <v>539</v>
      </c>
      <c r="U83" s="5" t="s">
        <v>304</v>
      </c>
      <c r="V83" s="5" t="s">
        <v>304</v>
      </c>
      <c r="W83" s="5" t="s">
        <v>304</v>
      </c>
      <c r="X83" s="5" t="s">
        <v>307</v>
      </c>
      <c r="Y83" s="5" t="s">
        <v>304</v>
      </c>
      <c r="Z83" s="5" t="s">
        <v>304</v>
      </c>
      <c r="AA83" s="5" t="s">
        <v>304</v>
      </c>
      <c r="AB83" s="5" t="s">
        <v>690</v>
      </c>
      <c r="AC83" s="5" t="s">
        <v>497</v>
      </c>
      <c r="AD83" s="5" t="s">
        <v>307</v>
      </c>
      <c r="AE83" s="5" t="s">
        <v>411</v>
      </c>
      <c r="AF83" s="5" t="s">
        <v>411</v>
      </c>
      <c r="AG83" s="5" t="s">
        <v>411</v>
      </c>
      <c r="AH83" s="5" t="s">
        <v>411</v>
      </c>
      <c r="AI83" s="5"/>
    </row>
    <row r="84" spans="1:35" ht="41.25" customHeight="1">
      <c r="A84" s="5">
        <v>82</v>
      </c>
      <c r="B84" s="5" t="s">
        <v>297</v>
      </c>
      <c r="C84" s="5" t="s">
        <v>512</v>
      </c>
      <c r="D84" s="5" t="s">
        <v>488</v>
      </c>
      <c r="E84" s="5">
        <v>42</v>
      </c>
      <c r="F84" s="5" t="s">
        <v>300</v>
      </c>
      <c r="G84" s="5" t="s">
        <v>307</v>
      </c>
      <c r="H84" s="5" t="s">
        <v>691</v>
      </c>
      <c r="I84" s="5" t="s">
        <v>304</v>
      </c>
      <c r="J84" s="5" t="s">
        <v>304</v>
      </c>
      <c r="K84" s="5" t="s">
        <v>301</v>
      </c>
      <c r="L84" s="5" t="s">
        <v>304</v>
      </c>
      <c r="M84" s="5" t="s">
        <v>306</v>
      </c>
      <c r="N84" s="5" t="s">
        <v>692</v>
      </c>
      <c r="O84" s="5" t="s">
        <v>307</v>
      </c>
      <c r="P84" s="5" t="s">
        <v>693</v>
      </c>
      <c r="Q84" s="5" t="s">
        <v>301</v>
      </c>
      <c r="R84" s="5" t="s">
        <v>694</v>
      </c>
      <c r="S84" s="5" t="s">
        <v>307</v>
      </c>
      <c r="T84" s="5" t="s">
        <v>695</v>
      </c>
      <c r="U84" s="5" t="s">
        <v>304</v>
      </c>
      <c r="V84" s="5" t="s">
        <v>304</v>
      </c>
      <c r="W84" s="5" t="s">
        <v>304</v>
      </c>
      <c r="X84" s="5" t="s">
        <v>307</v>
      </c>
      <c r="Y84" s="5" t="s">
        <v>304</v>
      </c>
      <c r="Z84" s="5" t="s">
        <v>304</v>
      </c>
      <c r="AA84" s="5" t="s">
        <v>304</v>
      </c>
      <c r="AB84" s="5" t="s">
        <v>696</v>
      </c>
      <c r="AC84" s="5" t="s">
        <v>497</v>
      </c>
      <c r="AD84" s="5" t="s">
        <v>307</v>
      </c>
      <c r="AE84" s="5" t="s">
        <v>411</v>
      </c>
      <c r="AF84" s="5" t="s">
        <v>411</v>
      </c>
      <c r="AG84" s="5" t="s">
        <v>411</v>
      </c>
      <c r="AH84" s="5" t="s">
        <v>411</v>
      </c>
      <c r="AI84" s="5"/>
    </row>
    <row r="85" spans="1:35" ht="27.75" customHeight="1">
      <c r="A85" s="5">
        <v>83</v>
      </c>
      <c r="B85" s="5" t="s">
        <v>297</v>
      </c>
      <c r="C85" s="5" t="s">
        <v>628</v>
      </c>
      <c r="D85" s="5" t="s">
        <v>337</v>
      </c>
      <c r="E85" s="5">
        <v>42</v>
      </c>
      <c r="F85" s="5" t="s">
        <v>300</v>
      </c>
      <c r="G85" s="5" t="s">
        <v>307</v>
      </c>
      <c r="H85" s="5" t="s">
        <v>697</v>
      </c>
      <c r="I85" s="5" t="s">
        <v>304</v>
      </c>
      <c r="J85" s="5" t="s">
        <v>304</v>
      </c>
      <c r="K85" s="5" t="s">
        <v>301</v>
      </c>
      <c r="L85" s="5" t="s">
        <v>304</v>
      </c>
      <c r="M85" s="5" t="s">
        <v>313</v>
      </c>
      <c r="N85" s="5" t="s">
        <v>698</v>
      </c>
      <c r="O85" s="5" t="s">
        <v>307</v>
      </c>
      <c r="P85" s="5" t="s">
        <v>699</v>
      </c>
      <c r="Q85" s="5" t="s">
        <v>301</v>
      </c>
      <c r="R85" s="5" t="s">
        <v>304</v>
      </c>
      <c r="S85" s="5" t="s">
        <v>307</v>
      </c>
      <c r="T85" s="5" t="s">
        <v>539</v>
      </c>
      <c r="U85" s="5" t="s">
        <v>304</v>
      </c>
      <c r="V85" s="5" t="s">
        <v>304</v>
      </c>
      <c r="W85" s="5" t="s">
        <v>304</v>
      </c>
      <c r="X85" s="5" t="s">
        <v>307</v>
      </c>
      <c r="Y85" s="5" t="s">
        <v>304</v>
      </c>
      <c r="Z85" s="5" t="s">
        <v>304</v>
      </c>
      <c r="AA85" s="5" t="s">
        <v>304</v>
      </c>
      <c r="AB85" s="5" t="s">
        <v>700</v>
      </c>
      <c r="AC85" s="5" t="s">
        <v>497</v>
      </c>
      <c r="AD85" s="5" t="s">
        <v>301</v>
      </c>
      <c r="AE85" s="5" t="s">
        <v>334</v>
      </c>
      <c r="AF85" s="5" t="s">
        <v>411</v>
      </c>
      <c r="AG85" s="5" t="s">
        <v>411</v>
      </c>
      <c r="AH85" s="5" t="s">
        <v>411</v>
      </c>
      <c r="AI85" s="5"/>
    </row>
    <row r="86" spans="1:35" ht="27.75" customHeight="1">
      <c r="A86" s="5">
        <v>84</v>
      </c>
      <c r="B86" s="5" t="s">
        <v>297</v>
      </c>
      <c r="C86" s="5" t="s">
        <v>500</v>
      </c>
      <c r="D86" s="5" t="s">
        <v>299</v>
      </c>
      <c r="E86" s="5">
        <v>32</v>
      </c>
      <c r="F86" s="5" t="s">
        <v>300</v>
      </c>
      <c r="G86" s="5" t="s">
        <v>307</v>
      </c>
      <c r="H86" s="5" t="s">
        <v>634</v>
      </c>
      <c r="I86" s="5" t="s">
        <v>304</v>
      </c>
      <c r="J86" s="5" t="s">
        <v>304</v>
      </c>
      <c r="K86" s="5" t="s">
        <v>301</v>
      </c>
      <c r="L86" s="5" t="s">
        <v>304</v>
      </c>
      <c r="M86" s="5" t="s">
        <v>306</v>
      </c>
      <c r="N86" s="5" t="s">
        <v>701</v>
      </c>
      <c r="O86" s="5" t="s">
        <v>307</v>
      </c>
      <c r="P86" s="5" t="s">
        <v>304</v>
      </c>
      <c r="Q86" s="5" t="s">
        <v>301</v>
      </c>
      <c r="R86" s="5" t="s">
        <v>304</v>
      </c>
      <c r="S86" s="5" t="s">
        <v>307</v>
      </c>
      <c r="T86" s="5" t="s">
        <v>702</v>
      </c>
      <c r="U86" s="5" t="s">
        <v>304</v>
      </c>
      <c r="V86" s="5" t="s">
        <v>304</v>
      </c>
      <c r="W86" s="5" t="s">
        <v>304</v>
      </c>
      <c r="X86" s="5" t="s">
        <v>307</v>
      </c>
      <c r="Y86" s="5" t="s">
        <v>304</v>
      </c>
      <c r="Z86" s="5" t="s">
        <v>304</v>
      </c>
      <c r="AA86" s="5" t="s">
        <v>304</v>
      </c>
      <c r="AB86" s="5" t="s">
        <v>703</v>
      </c>
      <c r="AC86" s="5" t="s">
        <v>497</v>
      </c>
      <c r="AD86" s="5" t="s">
        <v>307</v>
      </c>
      <c r="AE86" s="5" t="s">
        <v>334</v>
      </c>
      <c r="AF86" s="5" t="s">
        <v>411</v>
      </c>
      <c r="AG86" s="5" t="s">
        <v>411</v>
      </c>
      <c r="AH86" s="5" t="s">
        <v>411</v>
      </c>
      <c r="AI86" s="5"/>
    </row>
    <row r="87" spans="1:35" ht="27.75" customHeight="1">
      <c r="A87" s="5">
        <v>85</v>
      </c>
      <c r="B87" s="5" t="s">
        <v>297</v>
      </c>
      <c r="C87" s="5" t="s">
        <v>487</v>
      </c>
      <c r="D87" s="5" t="s">
        <v>488</v>
      </c>
      <c r="E87" s="5">
        <v>42</v>
      </c>
      <c r="F87" s="5" t="s">
        <v>300</v>
      </c>
      <c r="G87" s="5" t="s">
        <v>307</v>
      </c>
      <c r="H87" s="5" t="s">
        <v>704</v>
      </c>
      <c r="I87" s="5" t="s">
        <v>304</v>
      </c>
      <c r="J87" s="5" t="s">
        <v>304</v>
      </c>
      <c r="K87" s="5" t="s">
        <v>301</v>
      </c>
      <c r="L87" s="5" t="s">
        <v>304</v>
      </c>
      <c r="M87" s="5" t="s">
        <v>306</v>
      </c>
      <c r="N87" s="5" t="s">
        <v>698</v>
      </c>
      <c r="O87" s="5" t="s">
        <v>304</v>
      </c>
      <c r="P87" s="5" t="s">
        <v>705</v>
      </c>
      <c r="Q87" s="5" t="s">
        <v>301</v>
      </c>
      <c r="R87" s="5" t="s">
        <v>706</v>
      </c>
      <c r="S87" s="5" t="s">
        <v>307</v>
      </c>
      <c r="T87" s="5" t="s">
        <v>707</v>
      </c>
      <c r="U87" s="5" t="s">
        <v>304</v>
      </c>
      <c r="V87" s="5" t="s">
        <v>304</v>
      </c>
      <c r="W87" s="5" t="s">
        <v>304</v>
      </c>
      <c r="X87" s="5" t="s">
        <v>307</v>
      </c>
      <c r="Y87" s="5" t="s">
        <v>304</v>
      </c>
      <c r="Z87" s="5" t="s">
        <v>304</v>
      </c>
      <c r="AA87" s="5" t="s">
        <v>304</v>
      </c>
      <c r="AB87" s="5" t="s">
        <v>708</v>
      </c>
      <c r="AC87" s="5" t="s">
        <v>497</v>
      </c>
      <c r="AD87" s="5" t="s">
        <v>307</v>
      </c>
      <c r="AE87" s="5" t="s">
        <v>334</v>
      </c>
      <c r="AF87" s="5" t="s">
        <v>411</v>
      </c>
      <c r="AG87" s="5" t="s">
        <v>411</v>
      </c>
      <c r="AH87" s="5" t="s">
        <v>411</v>
      </c>
      <c r="AI87" s="5"/>
    </row>
    <row r="88" spans="1:35" ht="27.75" customHeight="1">
      <c r="A88" s="5">
        <v>86</v>
      </c>
      <c r="B88" s="5" t="s">
        <v>297</v>
      </c>
      <c r="C88" s="5" t="s">
        <v>500</v>
      </c>
      <c r="D88" s="5" t="s">
        <v>299</v>
      </c>
      <c r="E88" s="5">
        <v>25</v>
      </c>
      <c r="F88" s="5" t="s">
        <v>300</v>
      </c>
      <c r="G88" s="5" t="s">
        <v>307</v>
      </c>
      <c r="H88" s="5" t="s">
        <v>621</v>
      </c>
      <c r="I88" s="5" t="s">
        <v>304</v>
      </c>
      <c r="J88" s="5" t="s">
        <v>304</v>
      </c>
      <c r="K88" s="5" t="s">
        <v>301</v>
      </c>
      <c r="L88" s="5" t="s">
        <v>304</v>
      </c>
      <c r="M88" s="5" t="s">
        <v>306</v>
      </c>
      <c r="N88" s="5" t="s">
        <v>709</v>
      </c>
      <c r="O88" s="5" t="s">
        <v>307</v>
      </c>
      <c r="P88" s="5" t="s">
        <v>710</v>
      </c>
      <c r="Q88" s="5" t="s">
        <v>383</v>
      </c>
      <c r="R88" s="5" t="s">
        <v>711</v>
      </c>
      <c r="S88" s="5" t="s">
        <v>307</v>
      </c>
      <c r="T88" s="5" t="s">
        <v>685</v>
      </c>
      <c r="U88" s="5" t="s">
        <v>304</v>
      </c>
      <c r="V88" s="5" t="s">
        <v>304</v>
      </c>
      <c r="W88" s="5" t="s">
        <v>304</v>
      </c>
      <c r="X88" s="5" t="s">
        <v>307</v>
      </c>
      <c r="Y88" s="5" t="s">
        <v>304</v>
      </c>
      <c r="Z88" s="5" t="s">
        <v>304</v>
      </c>
      <c r="AA88" s="5" t="s">
        <v>304</v>
      </c>
      <c r="AB88" s="5" t="s">
        <v>712</v>
      </c>
      <c r="AC88" s="5" t="s">
        <v>497</v>
      </c>
      <c r="AD88" s="5" t="s">
        <v>301</v>
      </c>
      <c r="AE88" s="5" t="s">
        <v>334</v>
      </c>
      <c r="AF88" s="5" t="s">
        <v>411</v>
      </c>
      <c r="AG88" s="5" t="s">
        <v>411</v>
      </c>
      <c r="AH88" s="5" t="s">
        <v>411</v>
      </c>
      <c r="AI88" s="5"/>
    </row>
    <row r="89" spans="1:35" ht="27.75" customHeight="1">
      <c r="A89" s="5">
        <v>87</v>
      </c>
      <c r="B89" s="5" t="s">
        <v>297</v>
      </c>
      <c r="C89" s="5" t="s">
        <v>512</v>
      </c>
      <c r="D89" s="5" t="s">
        <v>488</v>
      </c>
      <c r="E89" s="5">
        <v>27</v>
      </c>
      <c r="F89" s="5" t="s">
        <v>300</v>
      </c>
      <c r="G89" s="5" t="s">
        <v>307</v>
      </c>
      <c r="H89" s="5" t="s">
        <v>621</v>
      </c>
      <c r="I89" s="5" t="s">
        <v>304</v>
      </c>
      <c r="J89" s="5" t="s">
        <v>304</v>
      </c>
      <c r="K89" s="5" t="s">
        <v>301</v>
      </c>
      <c r="L89" s="5" t="s">
        <v>304</v>
      </c>
      <c r="M89" s="5" t="s">
        <v>306</v>
      </c>
      <c r="N89" s="5" t="s">
        <v>713</v>
      </c>
      <c r="O89" s="5" t="s">
        <v>307</v>
      </c>
      <c r="P89" s="5" t="s">
        <v>569</v>
      </c>
      <c r="Q89" s="5" t="s">
        <v>301</v>
      </c>
      <c r="R89" s="5" t="s">
        <v>304</v>
      </c>
      <c r="S89" s="5" t="s">
        <v>307</v>
      </c>
      <c r="T89" s="5" t="s">
        <v>714</v>
      </c>
      <c r="U89" s="5" t="s">
        <v>304</v>
      </c>
      <c r="V89" s="5" t="s">
        <v>304</v>
      </c>
      <c r="W89" s="5" t="s">
        <v>304</v>
      </c>
      <c r="X89" s="5" t="s">
        <v>307</v>
      </c>
      <c r="Y89" s="5" t="s">
        <v>304</v>
      </c>
      <c r="Z89" s="5" t="s">
        <v>304</v>
      </c>
      <c r="AA89" s="5" t="s">
        <v>304</v>
      </c>
      <c r="AB89" s="5" t="s">
        <v>715</v>
      </c>
      <c r="AC89" s="5" t="s">
        <v>497</v>
      </c>
      <c r="AD89" s="5" t="s">
        <v>301</v>
      </c>
      <c r="AE89" s="5" t="s">
        <v>334</v>
      </c>
      <c r="AF89" s="5" t="s">
        <v>411</v>
      </c>
      <c r="AG89" s="5" t="s">
        <v>411</v>
      </c>
      <c r="AH89" s="5" t="s">
        <v>411</v>
      </c>
      <c r="AI89" s="5"/>
    </row>
    <row r="90" spans="1:35" ht="68.25" customHeight="1">
      <c r="A90" s="5">
        <v>88</v>
      </c>
      <c r="B90" s="5" t="s">
        <v>297</v>
      </c>
      <c r="C90" s="5" t="s">
        <v>628</v>
      </c>
      <c r="D90" s="5" t="s">
        <v>337</v>
      </c>
      <c r="E90" s="5">
        <v>42</v>
      </c>
      <c r="F90" s="5" t="s">
        <v>300</v>
      </c>
      <c r="G90" s="5" t="s">
        <v>301</v>
      </c>
      <c r="H90" s="5" t="s">
        <v>566</v>
      </c>
      <c r="I90" s="5" t="s">
        <v>328</v>
      </c>
      <c r="J90" s="5" t="s">
        <v>304</v>
      </c>
      <c r="K90" s="5" t="s">
        <v>301</v>
      </c>
      <c r="L90" s="5" t="s">
        <v>716</v>
      </c>
      <c r="M90" s="5" t="s">
        <v>306</v>
      </c>
      <c r="N90" s="5" t="s">
        <v>717</v>
      </c>
      <c r="O90" s="5" t="s">
        <v>307</v>
      </c>
      <c r="P90" s="5" t="s">
        <v>718</v>
      </c>
      <c r="Q90" s="5" t="s">
        <v>416</v>
      </c>
      <c r="R90" s="5" t="s">
        <v>719</v>
      </c>
      <c r="S90" s="5" t="s">
        <v>301</v>
      </c>
      <c r="T90" s="5" t="s">
        <v>720</v>
      </c>
      <c r="U90" s="5" t="s">
        <v>721</v>
      </c>
      <c r="V90" s="5" t="s">
        <v>304</v>
      </c>
      <c r="W90" s="5" t="s">
        <v>304</v>
      </c>
      <c r="X90" s="5" t="s">
        <v>301</v>
      </c>
      <c r="Y90" s="5" t="s">
        <v>304</v>
      </c>
      <c r="Z90" s="5" t="s">
        <v>304</v>
      </c>
      <c r="AA90" s="5" t="s">
        <v>304</v>
      </c>
      <c r="AB90" s="5" t="s">
        <v>722</v>
      </c>
      <c r="AC90" s="5" t="s">
        <v>317</v>
      </c>
      <c r="AD90" s="5" t="s">
        <v>307</v>
      </c>
      <c r="AE90" s="5" t="s">
        <v>411</v>
      </c>
      <c r="AF90" s="5" t="s">
        <v>411</v>
      </c>
      <c r="AG90" s="5" t="s">
        <v>411</v>
      </c>
      <c r="AH90" s="5" t="s">
        <v>723</v>
      </c>
      <c r="AI90" s="5"/>
    </row>
    <row r="91" spans="1:35" ht="81.75" customHeight="1">
      <c r="A91" s="5">
        <v>89</v>
      </c>
      <c r="B91" s="5" t="s">
        <v>297</v>
      </c>
      <c r="C91" s="5" t="s">
        <v>487</v>
      </c>
      <c r="D91" s="5" t="s">
        <v>488</v>
      </c>
      <c r="E91" s="5">
        <v>48</v>
      </c>
      <c r="F91" s="5" t="s">
        <v>300</v>
      </c>
      <c r="G91" s="5" t="s">
        <v>301</v>
      </c>
      <c r="H91" s="5" t="s">
        <v>328</v>
      </c>
      <c r="I91" s="5" t="s">
        <v>467</v>
      </c>
      <c r="J91" s="5" t="s">
        <v>724</v>
      </c>
      <c r="K91" s="5" t="s">
        <v>307</v>
      </c>
      <c r="L91" s="5" t="s">
        <v>304</v>
      </c>
      <c r="M91" s="5" t="s">
        <v>306</v>
      </c>
      <c r="N91" s="5" t="s">
        <v>304</v>
      </c>
      <c r="O91" s="5" t="s">
        <v>301</v>
      </c>
      <c r="P91" s="5" t="s">
        <v>725</v>
      </c>
      <c r="Q91" s="5" t="s">
        <v>411</v>
      </c>
      <c r="R91" s="5" t="s">
        <v>304</v>
      </c>
      <c r="S91" s="5" t="s">
        <v>301</v>
      </c>
      <c r="T91" s="5" t="s">
        <v>726</v>
      </c>
      <c r="U91" s="5" t="s">
        <v>304</v>
      </c>
      <c r="V91" s="5" t="s">
        <v>304</v>
      </c>
      <c r="W91" s="5" t="s">
        <v>304</v>
      </c>
      <c r="X91" s="5" t="s">
        <v>307</v>
      </c>
      <c r="Y91" s="5" t="s">
        <v>304</v>
      </c>
      <c r="Z91" s="5" t="s">
        <v>304</v>
      </c>
      <c r="AA91" s="5" t="s">
        <v>304</v>
      </c>
      <c r="AB91" s="5" t="s">
        <v>727</v>
      </c>
      <c r="AC91" s="5" t="s">
        <v>327</v>
      </c>
      <c r="AD91" s="5" t="s">
        <v>411</v>
      </c>
      <c r="AE91" s="5" t="s">
        <v>411</v>
      </c>
      <c r="AF91" s="5" t="s">
        <v>411</v>
      </c>
      <c r="AG91" s="5" t="s">
        <v>411</v>
      </c>
      <c r="AH91" s="5" t="s">
        <v>728</v>
      </c>
      <c r="AI91" s="5"/>
    </row>
    <row r="92" spans="1:35" ht="81.75" customHeight="1">
      <c r="A92" s="5">
        <v>90</v>
      </c>
      <c r="B92" s="5" t="s">
        <v>297</v>
      </c>
      <c r="C92" s="5" t="s">
        <v>729</v>
      </c>
      <c r="D92" s="5" t="s">
        <v>337</v>
      </c>
      <c r="E92" s="5">
        <v>49</v>
      </c>
      <c r="F92" s="5" t="s">
        <v>300</v>
      </c>
      <c r="G92" s="5" t="s">
        <v>301</v>
      </c>
      <c r="H92" s="5" t="s">
        <v>730</v>
      </c>
      <c r="I92" s="5" t="s">
        <v>304</v>
      </c>
      <c r="J92" s="5" t="s">
        <v>304</v>
      </c>
      <c r="K92" s="5" t="s">
        <v>301</v>
      </c>
      <c r="L92" s="5" t="s">
        <v>304</v>
      </c>
      <c r="M92" s="5" t="s">
        <v>313</v>
      </c>
      <c r="N92" s="5" t="s">
        <v>304</v>
      </c>
      <c r="O92" s="5" t="s">
        <v>307</v>
      </c>
      <c r="P92" s="5" t="s">
        <v>304</v>
      </c>
      <c r="Q92" s="5" t="s">
        <v>301</v>
      </c>
      <c r="R92" s="5" t="s">
        <v>304</v>
      </c>
      <c r="S92" s="5" t="s">
        <v>301</v>
      </c>
      <c r="T92" s="5" t="s">
        <v>304</v>
      </c>
      <c r="U92" s="5" t="s">
        <v>304</v>
      </c>
      <c r="V92" s="5" t="s">
        <v>304</v>
      </c>
      <c r="W92" s="5" t="s">
        <v>304</v>
      </c>
      <c r="X92" s="5" t="s">
        <v>301</v>
      </c>
      <c r="Y92" s="5" t="s">
        <v>304</v>
      </c>
      <c r="Z92" s="5" t="s">
        <v>304</v>
      </c>
      <c r="AA92" s="5" t="s">
        <v>304</v>
      </c>
      <c r="AB92" s="5" t="s">
        <v>304</v>
      </c>
      <c r="AC92" s="5" t="s">
        <v>327</v>
      </c>
      <c r="AD92" s="5" t="s">
        <v>301</v>
      </c>
      <c r="AE92" s="5" t="s">
        <v>334</v>
      </c>
      <c r="AF92" s="5" t="s">
        <v>301</v>
      </c>
      <c r="AG92" s="5" t="s">
        <v>307</v>
      </c>
      <c r="AH92" s="5" t="s">
        <v>731</v>
      </c>
      <c r="AI92" s="5"/>
    </row>
    <row r="93" spans="1:35" ht="41.25" customHeight="1">
      <c r="A93" s="5">
        <v>91</v>
      </c>
      <c r="B93" s="5" t="s">
        <v>297</v>
      </c>
      <c r="C93" s="5" t="s">
        <v>500</v>
      </c>
      <c r="D93" s="5" t="s">
        <v>299</v>
      </c>
      <c r="E93" s="5">
        <v>52</v>
      </c>
      <c r="F93" s="5" t="s">
        <v>300</v>
      </c>
      <c r="G93" s="5" t="s">
        <v>301</v>
      </c>
      <c r="H93" s="5" t="s">
        <v>310</v>
      </c>
      <c r="I93" s="5" t="s">
        <v>303</v>
      </c>
      <c r="J93" s="5" t="s">
        <v>304</v>
      </c>
      <c r="K93" s="5" t="s">
        <v>301</v>
      </c>
      <c r="L93" s="5" t="s">
        <v>304</v>
      </c>
      <c r="M93" s="5" t="s">
        <v>306</v>
      </c>
      <c r="N93" s="5" t="s">
        <v>304</v>
      </c>
      <c r="O93" s="5" t="s">
        <v>307</v>
      </c>
      <c r="P93" s="5" t="s">
        <v>304</v>
      </c>
      <c r="Q93" s="5" t="s">
        <v>301</v>
      </c>
      <c r="R93" s="5" t="s">
        <v>304</v>
      </c>
      <c r="S93" s="5" t="s">
        <v>307</v>
      </c>
      <c r="T93" s="5" t="s">
        <v>304</v>
      </c>
      <c r="U93" s="5" t="s">
        <v>304</v>
      </c>
      <c r="V93" s="5" t="s">
        <v>304</v>
      </c>
      <c r="W93" s="5" t="s">
        <v>304</v>
      </c>
      <c r="X93" s="5" t="s">
        <v>307</v>
      </c>
      <c r="Y93" s="5" t="s">
        <v>304</v>
      </c>
      <c r="Z93" s="5" t="s">
        <v>304</v>
      </c>
      <c r="AA93" s="5" t="s">
        <v>304</v>
      </c>
      <c r="AB93" s="5" t="s">
        <v>304</v>
      </c>
      <c r="AC93" s="5" t="s">
        <v>327</v>
      </c>
      <c r="AD93" s="5" t="s">
        <v>301</v>
      </c>
      <c r="AE93" s="5" t="s">
        <v>357</v>
      </c>
      <c r="AF93" s="5" t="s">
        <v>301</v>
      </c>
      <c r="AG93" s="5" t="s">
        <v>307</v>
      </c>
      <c r="AH93" s="5" t="s">
        <v>732</v>
      </c>
      <c r="AI93" s="5"/>
    </row>
    <row r="94" spans="1:35" ht="68.25" customHeight="1">
      <c r="A94" s="5">
        <v>92</v>
      </c>
      <c r="B94" s="5" t="s">
        <v>297</v>
      </c>
      <c r="C94" s="5" t="s">
        <v>733</v>
      </c>
      <c r="D94" s="5" t="s">
        <v>337</v>
      </c>
      <c r="E94" s="5">
        <v>46</v>
      </c>
      <c r="F94" s="5" t="s">
        <v>300</v>
      </c>
      <c r="G94" s="5" t="s">
        <v>301</v>
      </c>
      <c r="H94" s="5" t="s">
        <v>734</v>
      </c>
      <c r="I94" s="5" t="s">
        <v>735</v>
      </c>
      <c r="J94" s="5" t="s">
        <v>304</v>
      </c>
      <c r="K94" s="5" t="s">
        <v>301</v>
      </c>
      <c r="L94" s="5" t="s">
        <v>736</v>
      </c>
      <c r="M94" s="5" t="s">
        <v>313</v>
      </c>
      <c r="N94" s="5" t="s">
        <v>737</v>
      </c>
      <c r="O94" s="5" t="s">
        <v>307</v>
      </c>
      <c r="P94" s="5" t="s">
        <v>304</v>
      </c>
      <c r="Q94" s="5" t="s">
        <v>301</v>
      </c>
      <c r="R94" s="5" t="s">
        <v>304</v>
      </c>
      <c r="S94" s="5" t="s">
        <v>301</v>
      </c>
      <c r="T94" s="5" t="s">
        <v>738</v>
      </c>
      <c r="U94" s="5" t="s">
        <v>304</v>
      </c>
      <c r="V94" s="5" t="s">
        <v>304</v>
      </c>
      <c r="W94" s="5" t="s">
        <v>304</v>
      </c>
      <c r="X94" s="5" t="s">
        <v>301</v>
      </c>
      <c r="Y94" s="5" t="s">
        <v>304</v>
      </c>
      <c r="Z94" s="5" t="s">
        <v>304</v>
      </c>
      <c r="AA94" s="5" t="s">
        <v>304</v>
      </c>
      <c r="AB94" s="5" t="s">
        <v>739</v>
      </c>
      <c r="AC94" s="5" t="s">
        <v>371</v>
      </c>
      <c r="AD94" s="5" t="s">
        <v>301</v>
      </c>
      <c r="AE94" s="5" t="s">
        <v>411</v>
      </c>
      <c r="AF94" s="5" t="s">
        <v>411</v>
      </c>
      <c r="AG94" s="5" t="s">
        <v>411</v>
      </c>
      <c r="AH94" s="5" t="s">
        <v>411</v>
      </c>
      <c r="AI94" s="5"/>
    </row>
    <row r="95" spans="1:35" ht="54.75" customHeight="1">
      <c r="A95" s="5">
        <v>93</v>
      </c>
      <c r="B95" s="5" t="s">
        <v>297</v>
      </c>
      <c r="C95" s="5" t="s">
        <v>487</v>
      </c>
      <c r="D95" s="5" t="s">
        <v>488</v>
      </c>
      <c r="E95" s="5">
        <v>27</v>
      </c>
      <c r="F95" s="5" t="s">
        <v>300</v>
      </c>
      <c r="G95" s="5" t="s">
        <v>301</v>
      </c>
      <c r="H95" s="5" t="s">
        <v>566</v>
      </c>
      <c r="I95" s="5" t="s">
        <v>740</v>
      </c>
      <c r="J95" s="5" t="s">
        <v>304</v>
      </c>
      <c r="K95" s="5" t="s">
        <v>301</v>
      </c>
      <c r="L95" s="5" t="s">
        <v>741</v>
      </c>
      <c r="M95" s="5" t="s">
        <v>306</v>
      </c>
      <c r="N95" s="5" t="s">
        <v>742</v>
      </c>
      <c r="O95" s="5" t="s">
        <v>301</v>
      </c>
      <c r="P95" s="5" t="s">
        <v>743</v>
      </c>
      <c r="Q95" s="5" t="s">
        <v>307</v>
      </c>
      <c r="R95" s="5" t="s">
        <v>744</v>
      </c>
      <c r="S95" s="5" t="s">
        <v>301</v>
      </c>
      <c r="T95" s="5" t="s">
        <v>304</v>
      </c>
      <c r="U95" s="5" t="s">
        <v>304</v>
      </c>
      <c r="V95" s="5" t="s">
        <v>304</v>
      </c>
      <c r="W95" s="5" t="s">
        <v>745</v>
      </c>
      <c r="X95" s="5" t="s">
        <v>304</v>
      </c>
      <c r="Y95" s="5" t="s">
        <v>304</v>
      </c>
      <c r="Z95" s="5" t="s">
        <v>304</v>
      </c>
      <c r="AA95" s="5" t="s">
        <v>304</v>
      </c>
      <c r="AB95" s="5" t="s">
        <v>746</v>
      </c>
      <c r="AC95" s="5" t="s">
        <v>317</v>
      </c>
      <c r="AD95" s="5" t="s">
        <v>301</v>
      </c>
      <c r="AE95" s="5" t="s">
        <v>411</v>
      </c>
      <c r="AF95" s="5" t="s">
        <v>411</v>
      </c>
      <c r="AG95" s="5" t="s">
        <v>411</v>
      </c>
      <c r="AH95" s="5" t="s">
        <v>411</v>
      </c>
      <c r="AI95" s="5"/>
    </row>
    <row r="96" spans="1:35" ht="54.75" customHeight="1">
      <c r="A96" s="5">
        <v>94</v>
      </c>
      <c r="B96" s="5" t="s">
        <v>297</v>
      </c>
      <c r="C96" s="5" t="s">
        <v>733</v>
      </c>
      <c r="D96" s="5" t="s">
        <v>337</v>
      </c>
      <c r="E96" s="5">
        <v>45</v>
      </c>
      <c r="F96" s="5" t="s">
        <v>300</v>
      </c>
      <c r="G96" s="5" t="s">
        <v>301</v>
      </c>
      <c r="H96" s="5" t="s">
        <v>747</v>
      </c>
      <c r="I96" s="5" t="s">
        <v>328</v>
      </c>
      <c r="J96" s="5" t="s">
        <v>304</v>
      </c>
      <c r="K96" s="5" t="s">
        <v>301</v>
      </c>
      <c r="L96" s="5" t="s">
        <v>748</v>
      </c>
      <c r="M96" s="5" t="s">
        <v>313</v>
      </c>
      <c r="N96" s="5" t="s">
        <v>749</v>
      </c>
      <c r="O96" s="5" t="s">
        <v>307</v>
      </c>
      <c r="P96" s="5" t="s">
        <v>750</v>
      </c>
      <c r="Q96" s="5" t="s">
        <v>301</v>
      </c>
      <c r="R96" s="5" t="s">
        <v>751</v>
      </c>
      <c r="S96" s="5" t="s">
        <v>301</v>
      </c>
      <c r="T96" s="5" t="s">
        <v>752</v>
      </c>
      <c r="U96" s="5" t="s">
        <v>304</v>
      </c>
      <c r="V96" s="5" t="s">
        <v>304</v>
      </c>
      <c r="W96" s="5" t="s">
        <v>753</v>
      </c>
      <c r="X96" s="5" t="s">
        <v>301</v>
      </c>
      <c r="Y96" s="5" t="s">
        <v>304</v>
      </c>
      <c r="Z96" s="5" t="s">
        <v>304</v>
      </c>
      <c r="AA96" s="5" t="s">
        <v>304</v>
      </c>
      <c r="AB96" s="5" t="s">
        <v>754</v>
      </c>
      <c r="AC96" s="5" t="s">
        <v>317</v>
      </c>
      <c r="AD96" s="5" t="s">
        <v>307</v>
      </c>
      <c r="AE96" s="5" t="s">
        <v>411</v>
      </c>
      <c r="AF96" s="5" t="s">
        <v>411</v>
      </c>
      <c r="AG96" s="5" t="s">
        <v>411</v>
      </c>
      <c r="AH96" s="5" t="s">
        <v>755</v>
      </c>
      <c r="AI96" s="5"/>
    </row>
    <row r="97" spans="1:35" ht="68.25" customHeight="1">
      <c r="A97" s="5">
        <v>95</v>
      </c>
      <c r="B97" s="5" t="s">
        <v>297</v>
      </c>
      <c r="C97" s="5" t="s">
        <v>733</v>
      </c>
      <c r="D97" s="5" t="s">
        <v>337</v>
      </c>
      <c r="E97" s="5">
        <v>29</v>
      </c>
      <c r="F97" s="5" t="s">
        <v>513</v>
      </c>
      <c r="G97" s="5" t="s">
        <v>301</v>
      </c>
      <c r="H97" s="5" t="s">
        <v>566</v>
      </c>
      <c r="I97" s="5" t="s">
        <v>756</v>
      </c>
      <c r="J97" s="5" t="s">
        <v>304</v>
      </c>
      <c r="K97" s="5" t="s">
        <v>301</v>
      </c>
      <c r="L97" s="5" t="s">
        <v>757</v>
      </c>
      <c r="M97" s="5" t="s">
        <v>313</v>
      </c>
      <c r="N97" s="5" t="s">
        <v>304</v>
      </c>
      <c r="O97" s="5" t="s">
        <v>307</v>
      </c>
      <c r="P97" s="5" t="s">
        <v>304</v>
      </c>
      <c r="Q97" s="5" t="s">
        <v>301</v>
      </c>
      <c r="R97" s="5" t="s">
        <v>758</v>
      </c>
      <c r="S97" s="5" t="s">
        <v>301</v>
      </c>
      <c r="T97" s="5" t="s">
        <v>759</v>
      </c>
      <c r="U97" s="5" t="s">
        <v>523</v>
      </c>
      <c r="V97" s="5" t="s">
        <v>304</v>
      </c>
      <c r="W97" s="5" t="s">
        <v>760</v>
      </c>
      <c r="X97" s="5" t="s">
        <v>301</v>
      </c>
      <c r="Y97" s="5" t="s">
        <v>304</v>
      </c>
      <c r="Z97" s="5" t="s">
        <v>304</v>
      </c>
      <c r="AA97" s="5" t="s">
        <v>304</v>
      </c>
      <c r="AB97" s="5" t="s">
        <v>761</v>
      </c>
      <c r="AC97" s="5" t="s">
        <v>371</v>
      </c>
      <c r="AD97" s="5" t="s">
        <v>301</v>
      </c>
      <c r="AE97" s="5">
        <v>0</v>
      </c>
      <c r="AF97" s="5" t="s">
        <v>762</v>
      </c>
      <c r="AG97" s="5" t="s">
        <v>411</v>
      </c>
      <c r="AH97" s="5" t="s">
        <v>763</v>
      </c>
      <c r="AI97" s="5"/>
    </row>
    <row r="98" spans="1:35" ht="41.25" customHeight="1">
      <c r="A98" s="5">
        <v>96</v>
      </c>
      <c r="B98" s="5" t="s">
        <v>297</v>
      </c>
      <c r="C98" s="5" t="s">
        <v>733</v>
      </c>
      <c r="D98" s="5" t="s">
        <v>337</v>
      </c>
      <c r="E98" s="5">
        <v>40</v>
      </c>
      <c r="F98" s="5" t="s">
        <v>300</v>
      </c>
      <c r="G98" s="5" t="s">
        <v>301</v>
      </c>
      <c r="H98" s="5" t="s">
        <v>566</v>
      </c>
      <c r="I98" s="5" t="s">
        <v>764</v>
      </c>
      <c r="J98" s="5" t="s">
        <v>304</v>
      </c>
      <c r="K98" s="5" t="s">
        <v>301</v>
      </c>
      <c r="L98" s="5" t="s">
        <v>765</v>
      </c>
      <c r="M98" s="5" t="s">
        <v>313</v>
      </c>
      <c r="N98" s="5" t="s">
        <v>766</v>
      </c>
      <c r="O98" s="5" t="s">
        <v>307</v>
      </c>
      <c r="P98" s="5" t="s">
        <v>304</v>
      </c>
      <c r="Q98" s="5" t="s">
        <v>307</v>
      </c>
      <c r="R98" s="5" t="s">
        <v>304</v>
      </c>
      <c r="S98" s="5" t="s">
        <v>301</v>
      </c>
      <c r="T98" s="5" t="s">
        <v>304</v>
      </c>
      <c r="U98" s="5" t="s">
        <v>304</v>
      </c>
      <c r="V98" s="5" t="s">
        <v>304</v>
      </c>
      <c r="W98" s="5" t="s">
        <v>304</v>
      </c>
      <c r="X98" s="5" t="s">
        <v>301</v>
      </c>
      <c r="Y98" s="5" t="s">
        <v>304</v>
      </c>
      <c r="Z98" s="5" t="s">
        <v>304</v>
      </c>
      <c r="AA98" s="5" t="s">
        <v>304</v>
      </c>
      <c r="AB98" s="5" t="s">
        <v>304</v>
      </c>
      <c r="AC98" s="5" t="s">
        <v>371</v>
      </c>
      <c r="AD98" s="5" t="s">
        <v>301</v>
      </c>
      <c r="AE98" s="5" t="s">
        <v>304</v>
      </c>
      <c r="AF98" s="5" t="s">
        <v>304</v>
      </c>
      <c r="AG98" s="5" t="s">
        <v>304</v>
      </c>
      <c r="AH98" s="5" t="s">
        <v>304</v>
      </c>
      <c r="AI98" s="5"/>
    </row>
    <row r="99" spans="1:35" ht="54.75" customHeight="1">
      <c r="A99" s="5">
        <v>97</v>
      </c>
      <c r="B99" s="5" t="s">
        <v>297</v>
      </c>
      <c r="C99" s="5" t="s">
        <v>733</v>
      </c>
      <c r="D99" s="5" t="s">
        <v>337</v>
      </c>
      <c r="E99" s="5">
        <v>35</v>
      </c>
      <c r="F99" s="5" t="s">
        <v>300</v>
      </c>
      <c r="G99" s="5" t="s">
        <v>301</v>
      </c>
      <c r="H99" s="5" t="s">
        <v>747</v>
      </c>
      <c r="I99" s="5" t="s">
        <v>304</v>
      </c>
      <c r="J99" s="5" t="s">
        <v>304</v>
      </c>
      <c r="K99" s="5" t="s">
        <v>301</v>
      </c>
      <c r="L99" s="5" t="s">
        <v>767</v>
      </c>
      <c r="M99" s="5" t="s">
        <v>313</v>
      </c>
      <c r="N99" s="5" t="s">
        <v>768</v>
      </c>
      <c r="O99" s="5" t="s">
        <v>307</v>
      </c>
      <c r="P99" s="5" t="s">
        <v>769</v>
      </c>
      <c r="Q99" s="5" t="s">
        <v>301</v>
      </c>
      <c r="R99" s="5" t="s">
        <v>770</v>
      </c>
      <c r="S99" s="5" t="s">
        <v>301</v>
      </c>
      <c r="T99" s="5" t="s">
        <v>304</v>
      </c>
      <c r="U99" s="5" t="s">
        <v>304</v>
      </c>
      <c r="V99" s="5" t="s">
        <v>304</v>
      </c>
      <c r="W99" s="5" t="s">
        <v>771</v>
      </c>
      <c r="X99" s="5" t="s">
        <v>301</v>
      </c>
      <c r="Y99" s="5" t="s">
        <v>304</v>
      </c>
      <c r="Z99" s="5" t="s">
        <v>304</v>
      </c>
      <c r="AA99" s="5" t="s">
        <v>304</v>
      </c>
      <c r="AB99" s="5" t="s">
        <v>772</v>
      </c>
      <c r="AC99" s="5" t="s">
        <v>371</v>
      </c>
      <c r="AD99" s="5" t="s">
        <v>301</v>
      </c>
      <c r="AE99" s="5" t="s">
        <v>304</v>
      </c>
      <c r="AF99" s="5" t="s">
        <v>411</v>
      </c>
      <c r="AG99" s="5" t="s">
        <v>411</v>
      </c>
      <c r="AH99" s="5" t="s">
        <v>411</v>
      </c>
      <c r="AI99" s="5" t="s">
        <v>773</v>
      </c>
    </row>
    <row r="100" spans="1:35" ht="81.75" customHeight="1">
      <c r="A100" s="5">
        <v>98</v>
      </c>
      <c r="B100" s="5" t="s">
        <v>297</v>
      </c>
      <c r="C100" s="5" t="s">
        <v>733</v>
      </c>
      <c r="D100" s="5" t="s">
        <v>337</v>
      </c>
      <c r="E100" s="5">
        <v>52</v>
      </c>
      <c r="F100" s="5" t="s">
        <v>300</v>
      </c>
      <c r="G100" s="5" t="s">
        <v>301</v>
      </c>
      <c r="H100" s="5" t="s">
        <v>774</v>
      </c>
      <c r="I100" s="5" t="s">
        <v>775</v>
      </c>
      <c r="J100" s="5" t="s">
        <v>304</v>
      </c>
      <c r="K100" s="5" t="s">
        <v>301</v>
      </c>
      <c r="L100" s="5" t="s">
        <v>776</v>
      </c>
      <c r="M100" s="5" t="s">
        <v>306</v>
      </c>
      <c r="N100" s="5" t="s">
        <v>777</v>
      </c>
      <c r="O100" s="5" t="s">
        <v>307</v>
      </c>
      <c r="P100" s="5" t="s">
        <v>778</v>
      </c>
      <c r="Q100" s="5" t="s">
        <v>304</v>
      </c>
      <c r="R100" s="5" t="s">
        <v>779</v>
      </c>
      <c r="S100" s="5" t="s">
        <v>301</v>
      </c>
      <c r="T100" s="5" t="s">
        <v>304</v>
      </c>
      <c r="U100" s="5" t="s">
        <v>304</v>
      </c>
      <c r="V100" s="5" t="s">
        <v>304</v>
      </c>
      <c r="W100" s="5" t="s">
        <v>780</v>
      </c>
      <c r="X100" s="5" t="s">
        <v>307</v>
      </c>
      <c r="Y100" s="5" t="s">
        <v>304</v>
      </c>
      <c r="Z100" s="5" t="s">
        <v>304</v>
      </c>
      <c r="AA100" s="5" t="s">
        <v>304</v>
      </c>
      <c r="AB100" s="5" t="s">
        <v>781</v>
      </c>
      <c r="AC100" s="5" t="s">
        <v>327</v>
      </c>
      <c r="AD100" s="5" t="s">
        <v>301</v>
      </c>
      <c r="AE100" s="5" t="s">
        <v>304</v>
      </c>
      <c r="AF100" s="5" t="s">
        <v>304</v>
      </c>
      <c r="AG100" s="5" t="s">
        <v>304</v>
      </c>
      <c r="AH100" s="5" t="s">
        <v>782</v>
      </c>
      <c r="AI100" s="5"/>
    </row>
    <row r="101" spans="1:35" ht="41.25" customHeight="1">
      <c r="A101" s="5">
        <v>99</v>
      </c>
      <c r="B101" s="5" t="s">
        <v>297</v>
      </c>
      <c r="C101" s="5" t="s">
        <v>733</v>
      </c>
      <c r="D101" s="5" t="s">
        <v>337</v>
      </c>
      <c r="E101" s="5">
        <v>35</v>
      </c>
      <c r="F101" s="5" t="s">
        <v>300</v>
      </c>
      <c r="G101" s="5" t="s">
        <v>301</v>
      </c>
      <c r="H101" s="5" t="s">
        <v>328</v>
      </c>
      <c r="I101" s="5" t="s">
        <v>783</v>
      </c>
      <c r="J101" s="5" t="s">
        <v>304</v>
      </c>
      <c r="K101" s="5" t="s">
        <v>301</v>
      </c>
      <c r="L101" s="5" t="s">
        <v>784</v>
      </c>
      <c r="M101" s="5" t="s">
        <v>383</v>
      </c>
      <c r="N101" s="5" t="s">
        <v>785</v>
      </c>
      <c r="O101" s="5" t="s">
        <v>307</v>
      </c>
      <c r="P101" s="5" t="s">
        <v>786</v>
      </c>
      <c r="Q101" s="5" t="s">
        <v>307</v>
      </c>
      <c r="R101" s="5" t="s">
        <v>787</v>
      </c>
      <c r="S101" s="5" t="s">
        <v>301</v>
      </c>
      <c r="T101" s="5" t="s">
        <v>788</v>
      </c>
      <c r="U101" s="5" t="s">
        <v>304</v>
      </c>
      <c r="V101" s="5" t="s">
        <v>304</v>
      </c>
      <c r="W101" s="5" t="s">
        <v>304</v>
      </c>
      <c r="X101" s="5" t="s">
        <v>307</v>
      </c>
      <c r="Y101" s="5" t="s">
        <v>304</v>
      </c>
      <c r="Z101" s="5" t="s">
        <v>304</v>
      </c>
      <c r="AA101" s="5" t="s">
        <v>304</v>
      </c>
      <c r="AB101" s="5" t="s">
        <v>789</v>
      </c>
      <c r="AC101" s="5" t="s">
        <v>411</v>
      </c>
      <c r="AD101" s="5" t="s">
        <v>301</v>
      </c>
      <c r="AE101" s="5" t="s">
        <v>411</v>
      </c>
      <c r="AF101" s="5" t="s">
        <v>411</v>
      </c>
      <c r="AG101" s="5" t="s">
        <v>411</v>
      </c>
      <c r="AH101" s="5" t="s">
        <v>790</v>
      </c>
      <c r="AI101" s="5"/>
    </row>
    <row r="102" spans="1:35" ht="15" customHeight="1">
      <c r="A102" s="5">
        <v>100</v>
      </c>
      <c r="B102" s="5" t="s">
        <v>297</v>
      </c>
      <c r="C102" s="5" t="s">
        <v>628</v>
      </c>
      <c r="D102" s="5" t="s">
        <v>337</v>
      </c>
      <c r="E102" s="5">
        <v>32</v>
      </c>
      <c r="F102" s="5" t="s">
        <v>300</v>
      </c>
      <c r="G102" s="5" t="s">
        <v>301</v>
      </c>
      <c r="H102" s="5" t="s">
        <v>304</v>
      </c>
      <c r="I102" s="5" t="s">
        <v>304</v>
      </c>
      <c r="J102" s="5" t="s">
        <v>304</v>
      </c>
      <c r="K102" s="5" t="s">
        <v>301</v>
      </c>
      <c r="L102" s="5" t="s">
        <v>304</v>
      </c>
      <c r="M102" s="5" t="s">
        <v>383</v>
      </c>
      <c r="N102" s="5" t="s">
        <v>304</v>
      </c>
      <c r="O102" s="5" t="s">
        <v>307</v>
      </c>
      <c r="P102" s="5" t="s">
        <v>464</v>
      </c>
      <c r="Q102" s="5" t="s">
        <v>307</v>
      </c>
      <c r="R102" s="5" t="s">
        <v>304</v>
      </c>
      <c r="S102" s="5" t="s">
        <v>301</v>
      </c>
      <c r="T102" s="5" t="s">
        <v>304</v>
      </c>
      <c r="U102" s="5" t="s">
        <v>304</v>
      </c>
      <c r="V102" s="5" t="s">
        <v>304</v>
      </c>
      <c r="W102" s="5" t="s">
        <v>304</v>
      </c>
      <c r="X102" s="5" t="s">
        <v>301</v>
      </c>
      <c r="Y102" s="5" t="s">
        <v>304</v>
      </c>
      <c r="Z102" s="5" t="s">
        <v>304</v>
      </c>
      <c r="AA102" s="5" t="s">
        <v>304</v>
      </c>
      <c r="AB102" s="5" t="s">
        <v>304</v>
      </c>
      <c r="AC102" s="5" t="s">
        <v>327</v>
      </c>
      <c r="AD102" s="5" t="s">
        <v>301</v>
      </c>
      <c r="AE102" s="5" t="s">
        <v>411</v>
      </c>
      <c r="AF102" s="5" t="s">
        <v>304</v>
      </c>
      <c r="AG102" s="5" t="s">
        <v>304</v>
      </c>
      <c r="AH102" s="5" t="s">
        <v>304</v>
      </c>
      <c r="AI102" s="5"/>
    </row>
    <row r="103" spans="1:35" ht="68.25" customHeight="1">
      <c r="A103" s="5">
        <v>101</v>
      </c>
      <c r="B103" s="5" t="s">
        <v>297</v>
      </c>
      <c r="C103" s="5" t="s">
        <v>512</v>
      </c>
      <c r="D103" s="5" t="s">
        <v>488</v>
      </c>
      <c r="E103" s="5">
        <v>24</v>
      </c>
      <c r="F103" s="5" t="s">
        <v>300</v>
      </c>
      <c r="G103" s="5" t="s">
        <v>301</v>
      </c>
      <c r="H103" s="5" t="s">
        <v>328</v>
      </c>
      <c r="I103" s="5" t="s">
        <v>791</v>
      </c>
      <c r="J103" s="5" t="s">
        <v>304</v>
      </c>
      <c r="K103" s="5" t="s">
        <v>301</v>
      </c>
      <c r="L103" s="5" t="s">
        <v>304</v>
      </c>
      <c r="M103" s="5" t="s">
        <v>306</v>
      </c>
      <c r="N103" s="5" t="s">
        <v>792</v>
      </c>
      <c r="O103" s="5" t="s">
        <v>307</v>
      </c>
      <c r="P103" s="5" t="s">
        <v>793</v>
      </c>
      <c r="Q103" s="5" t="s">
        <v>304</v>
      </c>
      <c r="R103" s="5" t="s">
        <v>794</v>
      </c>
      <c r="S103" s="5" t="s">
        <v>301</v>
      </c>
      <c r="T103" s="5" t="s">
        <v>304</v>
      </c>
      <c r="U103" s="5" t="s">
        <v>304</v>
      </c>
      <c r="V103" s="5" t="s">
        <v>304</v>
      </c>
      <c r="W103" s="5" t="s">
        <v>304</v>
      </c>
      <c r="X103" s="5" t="s">
        <v>304</v>
      </c>
      <c r="Y103" s="5" t="s">
        <v>304</v>
      </c>
      <c r="Z103" s="5" t="s">
        <v>304</v>
      </c>
      <c r="AA103" s="5" t="s">
        <v>304</v>
      </c>
      <c r="AB103" s="5" t="s">
        <v>795</v>
      </c>
      <c r="AC103" s="5" t="s">
        <v>304</v>
      </c>
      <c r="AD103" s="5" t="s">
        <v>307</v>
      </c>
      <c r="AE103" s="5">
        <v>0</v>
      </c>
      <c r="AF103" s="5" t="s">
        <v>411</v>
      </c>
      <c r="AG103" s="5" t="s">
        <v>411</v>
      </c>
      <c r="AH103" s="5" t="s">
        <v>411</v>
      </c>
      <c r="AI103" s="5"/>
    </row>
    <row r="104" spans="1:35" ht="15" customHeight="1">
      <c r="A104" s="5">
        <v>102</v>
      </c>
      <c r="B104" s="5" t="s">
        <v>297</v>
      </c>
      <c r="C104" s="5" t="s">
        <v>733</v>
      </c>
      <c r="D104" s="5" t="s">
        <v>337</v>
      </c>
      <c r="E104" s="5">
        <v>30</v>
      </c>
      <c r="F104" s="5" t="s">
        <v>300</v>
      </c>
      <c r="G104" s="5" t="s">
        <v>301</v>
      </c>
      <c r="H104" s="5" t="s">
        <v>796</v>
      </c>
      <c r="I104" s="5" t="s">
        <v>304</v>
      </c>
      <c r="J104" s="5" t="s">
        <v>304</v>
      </c>
      <c r="K104" s="5" t="s">
        <v>301</v>
      </c>
      <c r="L104" s="5" t="s">
        <v>304</v>
      </c>
      <c r="M104" s="5" t="s">
        <v>306</v>
      </c>
      <c r="N104" s="5" t="s">
        <v>304</v>
      </c>
      <c r="O104" s="5" t="s">
        <v>307</v>
      </c>
      <c r="P104" s="5" t="s">
        <v>304</v>
      </c>
      <c r="Q104" s="5" t="s">
        <v>304</v>
      </c>
      <c r="R104" s="5" t="s">
        <v>304</v>
      </c>
      <c r="S104" s="5" t="s">
        <v>301</v>
      </c>
      <c r="T104" s="5" t="s">
        <v>304</v>
      </c>
      <c r="U104" s="5" t="s">
        <v>304</v>
      </c>
      <c r="V104" s="5" t="s">
        <v>304</v>
      </c>
      <c r="W104" s="5" t="s">
        <v>304</v>
      </c>
      <c r="X104" s="5" t="s">
        <v>301</v>
      </c>
      <c r="Y104" s="5" t="s">
        <v>304</v>
      </c>
      <c r="Z104" s="5" t="s">
        <v>304</v>
      </c>
      <c r="AA104" s="5" t="s">
        <v>304</v>
      </c>
      <c r="AB104" s="5" t="s">
        <v>304</v>
      </c>
      <c r="AC104" s="5" t="s">
        <v>304</v>
      </c>
      <c r="AD104" s="5" t="s">
        <v>301</v>
      </c>
      <c r="AE104" s="5" t="s">
        <v>304</v>
      </c>
      <c r="AF104" s="5" t="s">
        <v>304</v>
      </c>
      <c r="AG104" s="5" t="s">
        <v>304</v>
      </c>
      <c r="AH104" s="5" t="s">
        <v>304</v>
      </c>
      <c r="AI104" s="5"/>
    </row>
    <row r="105" spans="1:35" ht="27.75" customHeight="1">
      <c r="A105" s="5">
        <v>103</v>
      </c>
      <c r="B105" s="5" t="s">
        <v>297</v>
      </c>
      <c r="C105" s="5" t="s">
        <v>733</v>
      </c>
      <c r="D105" s="5" t="s">
        <v>337</v>
      </c>
      <c r="E105" s="5">
        <v>36</v>
      </c>
      <c r="F105" s="5" t="s">
        <v>300</v>
      </c>
      <c r="G105" s="5" t="s">
        <v>301</v>
      </c>
      <c r="H105" s="5" t="s">
        <v>304</v>
      </c>
      <c r="I105" s="5" t="s">
        <v>304</v>
      </c>
      <c r="J105" s="5" t="s">
        <v>797</v>
      </c>
      <c r="K105" s="5" t="s">
        <v>304</v>
      </c>
      <c r="L105" s="5" t="s">
        <v>304</v>
      </c>
      <c r="M105" s="5" t="s">
        <v>306</v>
      </c>
      <c r="N105" s="5" t="s">
        <v>304</v>
      </c>
      <c r="O105" s="5" t="s">
        <v>307</v>
      </c>
      <c r="P105" s="5" t="s">
        <v>304</v>
      </c>
      <c r="Q105" s="5" t="s">
        <v>304</v>
      </c>
      <c r="R105" s="5" t="s">
        <v>304</v>
      </c>
      <c r="S105" s="5" t="s">
        <v>301</v>
      </c>
      <c r="T105" s="5" t="s">
        <v>304</v>
      </c>
      <c r="U105" s="5" t="s">
        <v>304</v>
      </c>
      <c r="V105" s="5" t="s">
        <v>304</v>
      </c>
      <c r="W105" s="5" t="s">
        <v>304</v>
      </c>
      <c r="X105" s="5" t="s">
        <v>301</v>
      </c>
      <c r="Y105" s="5" t="s">
        <v>304</v>
      </c>
      <c r="Z105" s="5" t="s">
        <v>304</v>
      </c>
      <c r="AA105" s="5" t="s">
        <v>304</v>
      </c>
      <c r="AB105" s="5" t="s">
        <v>304</v>
      </c>
      <c r="AC105" s="5" t="s">
        <v>304</v>
      </c>
      <c r="AD105" s="5" t="s">
        <v>301</v>
      </c>
      <c r="AE105" s="5" t="s">
        <v>304</v>
      </c>
      <c r="AF105" s="5" t="s">
        <v>304</v>
      </c>
      <c r="AG105" s="5" t="s">
        <v>304</v>
      </c>
      <c r="AH105" s="5" t="s">
        <v>304</v>
      </c>
      <c r="AI105" s="5"/>
    </row>
    <row r="106" spans="1:35" ht="27.75" customHeight="1">
      <c r="A106" s="5">
        <v>104</v>
      </c>
      <c r="B106" s="5" t="s">
        <v>297</v>
      </c>
      <c r="C106" s="5" t="s">
        <v>500</v>
      </c>
      <c r="D106" s="5" t="s">
        <v>299</v>
      </c>
      <c r="E106" s="5">
        <v>18</v>
      </c>
      <c r="F106" s="5" t="s">
        <v>300</v>
      </c>
      <c r="G106" s="5" t="s">
        <v>307</v>
      </c>
      <c r="H106" s="5" t="s">
        <v>304</v>
      </c>
      <c r="I106" s="5" t="s">
        <v>304</v>
      </c>
      <c r="J106" s="5" t="s">
        <v>798</v>
      </c>
      <c r="K106" s="5" t="s">
        <v>301</v>
      </c>
      <c r="L106" s="5" t="s">
        <v>304</v>
      </c>
      <c r="M106" s="5" t="s">
        <v>383</v>
      </c>
      <c r="N106" s="5" t="s">
        <v>304</v>
      </c>
      <c r="O106" s="5" t="s">
        <v>307</v>
      </c>
      <c r="P106" s="5" t="s">
        <v>304</v>
      </c>
      <c r="Q106" s="5" t="s">
        <v>307</v>
      </c>
      <c r="R106" s="5" t="s">
        <v>304</v>
      </c>
      <c r="S106" s="5" t="s">
        <v>307</v>
      </c>
      <c r="T106" s="5" t="s">
        <v>304</v>
      </c>
      <c r="U106" s="5" t="s">
        <v>304</v>
      </c>
      <c r="V106" s="5" t="s">
        <v>304</v>
      </c>
      <c r="W106" s="5" t="s">
        <v>304</v>
      </c>
      <c r="X106" s="5" t="s">
        <v>304</v>
      </c>
      <c r="Y106" s="5" t="s">
        <v>304</v>
      </c>
      <c r="Z106" s="5" t="s">
        <v>304</v>
      </c>
      <c r="AA106" s="5" t="s">
        <v>304</v>
      </c>
      <c r="AB106" s="5" t="s">
        <v>304</v>
      </c>
      <c r="AC106" s="5" t="s">
        <v>327</v>
      </c>
      <c r="AD106" s="5" t="s">
        <v>301</v>
      </c>
      <c r="AE106" s="5" t="s">
        <v>304</v>
      </c>
      <c r="AF106" s="5" t="s">
        <v>304</v>
      </c>
      <c r="AG106" s="5" t="s">
        <v>304</v>
      </c>
      <c r="AH106" s="5" t="s">
        <v>304</v>
      </c>
      <c r="AI106" s="5"/>
    </row>
    <row r="107" spans="1:35" ht="27.75" customHeight="1">
      <c r="A107" s="5">
        <v>105</v>
      </c>
      <c r="B107" s="5" t="s">
        <v>297</v>
      </c>
      <c r="C107" s="5" t="s">
        <v>500</v>
      </c>
      <c r="D107" s="5" t="s">
        <v>299</v>
      </c>
      <c r="E107" s="5">
        <v>28</v>
      </c>
      <c r="F107" s="5" t="s">
        <v>300</v>
      </c>
      <c r="G107" s="5" t="s">
        <v>301</v>
      </c>
      <c r="H107" s="5" t="s">
        <v>799</v>
      </c>
      <c r="I107" s="5" t="s">
        <v>800</v>
      </c>
      <c r="J107" s="5" t="s">
        <v>801</v>
      </c>
      <c r="K107" s="5" t="s">
        <v>301</v>
      </c>
      <c r="L107" s="5" t="s">
        <v>304</v>
      </c>
      <c r="M107" s="5" t="s">
        <v>306</v>
      </c>
      <c r="N107" s="5" t="s">
        <v>304</v>
      </c>
      <c r="O107" s="5" t="s">
        <v>307</v>
      </c>
      <c r="P107" s="5" t="s">
        <v>304</v>
      </c>
      <c r="Q107" s="5" t="s">
        <v>307</v>
      </c>
      <c r="R107" s="5" t="s">
        <v>802</v>
      </c>
      <c r="S107" s="5" t="s">
        <v>307</v>
      </c>
      <c r="T107" s="5" t="s">
        <v>304</v>
      </c>
      <c r="U107" s="5" t="s">
        <v>304</v>
      </c>
      <c r="V107" s="5" t="s">
        <v>304</v>
      </c>
      <c r="W107" s="5" t="s">
        <v>304</v>
      </c>
      <c r="X107" s="5" t="s">
        <v>304</v>
      </c>
      <c r="Y107" s="5" t="s">
        <v>304</v>
      </c>
      <c r="Z107" s="5" t="s">
        <v>304</v>
      </c>
      <c r="AA107" s="5" t="s">
        <v>304</v>
      </c>
      <c r="AB107" s="5" t="s">
        <v>803</v>
      </c>
      <c r="AC107" s="5" t="s">
        <v>317</v>
      </c>
      <c r="AD107" s="5" t="s">
        <v>301</v>
      </c>
      <c r="AE107" s="5" t="s">
        <v>411</v>
      </c>
      <c r="AF107" s="5" t="s">
        <v>411</v>
      </c>
      <c r="AG107" s="5" t="s">
        <v>411</v>
      </c>
      <c r="AH107" s="5" t="s">
        <v>804</v>
      </c>
      <c r="AI107" s="5"/>
    </row>
    <row r="108" spans="1:35" ht="27.75" customHeight="1">
      <c r="A108" s="5">
        <v>106</v>
      </c>
      <c r="B108" s="5" t="s">
        <v>297</v>
      </c>
      <c r="C108" s="5" t="s">
        <v>805</v>
      </c>
      <c r="D108" s="5" t="s">
        <v>337</v>
      </c>
      <c r="E108" s="5">
        <v>41</v>
      </c>
      <c r="F108" s="5" t="s">
        <v>300</v>
      </c>
      <c r="G108" s="5" t="s">
        <v>301</v>
      </c>
      <c r="H108" s="5" t="s">
        <v>328</v>
      </c>
      <c r="I108" s="5" t="s">
        <v>304</v>
      </c>
      <c r="J108" s="5" t="s">
        <v>304</v>
      </c>
      <c r="K108" s="5" t="s">
        <v>301</v>
      </c>
      <c r="L108" s="5" t="s">
        <v>304</v>
      </c>
      <c r="M108" s="5" t="s">
        <v>306</v>
      </c>
      <c r="N108" s="5" t="s">
        <v>304</v>
      </c>
      <c r="O108" s="5" t="s">
        <v>307</v>
      </c>
      <c r="P108" s="5" t="s">
        <v>304</v>
      </c>
      <c r="Q108" s="5" t="s">
        <v>308</v>
      </c>
      <c r="R108" s="5" t="s">
        <v>304</v>
      </c>
      <c r="S108" s="5" t="s">
        <v>301</v>
      </c>
      <c r="T108" s="5" t="s">
        <v>304</v>
      </c>
      <c r="U108" s="5" t="s">
        <v>304</v>
      </c>
      <c r="V108" s="5" t="s">
        <v>304</v>
      </c>
      <c r="W108" s="5" t="s">
        <v>304</v>
      </c>
      <c r="X108" s="5" t="s">
        <v>308</v>
      </c>
      <c r="Y108" s="5" t="s">
        <v>304</v>
      </c>
      <c r="Z108" s="5" t="s">
        <v>304</v>
      </c>
      <c r="AA108" s="5" t="s">
        <v>304</v>
      </c>
      <c r="AB108" s="5" t="s">
        <v>304</v>
      </c>
      <c r="AC108" s="5" t="s">
        <v>327</v>
      </c>
      <c r="AD108" s="5" t="s">
        <v>307</v>
      </c>
      <c r="AE108" s="5" t="s">
        <v>806</v>
      </c>
      <c r="AF108" s="5" t="s">
        <v>301</v>
      </c>
      <c r="AG108" s="5" t="s">
        <v>334</v>
      </c>
      <c r="AH108" s="5" t="s">
        <v>807</v>
      </c>
      <c r="AI108" s="5" t="s">
        <v>808</v>
      </c>
    </row>
    <row r="109" spans="1:35" ht="41.25" customHeight="1">
      <c r="A109" s="5">
        <v>107</v>
      </c>
      <c r="B109" s="5" t="s">
        <v>297</v>
      </c>
      <c r="C109" s="5" t="s">
        <v>733</v>
      </c>
      <c r="D109" s="5" t="s">
        <v>337</v>
      </c>
      <c r="E109" s="5">
        <v>48</v>
      </c>
      <c r="F109" s="5" t="s">
        <v>300</v>
      </c>
      <c r="G109" s="5" t="s">
        <v>307</v>
      </c>
      <c r="H109" s="5" t="s">
        <v>310</v>
      </c>
      <c r="I109" s="5" t="s">
        <v>304</v>
      </c>
      <c r="J109" s="5" t="s">
        <v>304</v>
      </c>
      <c r="K109" s="5" t="s">
        <v>301</v>
      </c>
      <c r="L109" s="5" t="s">
        <v>304</v>
      </c>
      <c r="M109" s="5" t="s">
        <v>306</v>
      </c>
      <c r="N109" s="5" t="s">
        <v>304</v>
      </c>
      <c r="O109" s="5" t="s">
        <v>307</v>
      </c>
      <c r="P109" s="5" t="s">
        <v>304</v>
      </c>
      <c r="Q109" s="5" t="s">
        <v>308</v>
      </c>
      <c r="R109" s="5" t="s">
        <v>304</v>
      </c>
      <c r="S109" s="5" t="s">
        <v>301</v>
      </c>
      <c r="T109" s="5" t="s">
        <v>304</v>
      </c>
      <c r="U109" s="5" t="s">
        <v>304</v>
      </c>
      <c r="V109" s="5" t="s">
        <v>304</v>
      </c>
      <c r="W109" s="5" t="s">
        <v>809</v>
      </c>
      <c r="X109" s="5" t="s">
        <v>307</v>
      </c>
      <c r="Y109" s="5" t="s">
        <v>304</v>
      </c>
      <c r="Z109" s="5" t="s">
        <v>304</v>
      </c>
      <c r="AA109" s="5" t="s">
        <v>304</v>
      </c>
      <c r="AB109" s="5" t="s">
        <v>304</v>
      </c>
      <c r="AC109" s="5" t="s">
        <v>327</v>
      </c>
      <c r="AD109" s="5" t="s">
        <v>307</v>
      </c>
      <c r="AE109" s="5" t="s">
        <v>810</v>
      </c>
      <c r="AF109" s="5" t="s">
        <v>301</v>
      </c>
      <c r="AG109" s="5" t="s">
        <v>307</v>
      </c>
      <c r="AH109" s="5" t="s">
        <v>811</v>
      </c>
      <c r="AI109" s="5" t="s">
        <v>812</v>
      </c>
    </row>
    <row r="110" spans="1:35" ht="41.25" customHeight="1">
      <c r="A110" s="5">
        <v>108</v>
      </c>
      <c r="B110" s="5" t="s">
        <v>297</v>
      </c>
      <c r="C110" s="5" t="s">
        <v>733</v>
      </c>
      <c r="D110" s="5" t="s">
        <v>337</v>
      </c>
      <c r="E110" s="5">
        <v>49</v>
      </c>
      <c r="F110" s="5" t="s">
        <v>300</v>
      </c>
      <c r="G110" s="5" t="s">
        <v>301</v>
      </c>
      <c r="H110" s="5" t="s">
        <v>813</v>
      </c>
      <c r="I110" s="5" t="s">
        <v>304</v>
      </c>
      <c r="J110" s="5" t="s">
        <v>304</v>
      </c>
      <c r="K110" s="5" t="s">
        <v>301</v>
      </c>
      <c r="L110" s="5" t="s">
        <v>304</v>
      </c>
      <c r="M110" s="5" t="s">
        <v>383</v>
      </c>
      <c r="N110" s="5" t="s">
        <v>814</v>
      </c>
      <c r="O110" s="5" t="s">
        <v>307</v>
      </c>
      <c r="P110" s="5" t="s">
        <v>815</v>
      </c>
      <c r="Q110" s="5" t="s">
        <v>301</v>
      </c>
      <c r="R110" s="5" t="s">
        <v>304</v>
      </c>
      <c r="S110" s="5" t="s">
        <v>301</v>
      </c>
      <c r="T110" s="5" t="s">
        <v>816</v>
      </c>
      <c r="U110" s="5" t="s">
        <v>817</v>
      </c>
      <c r="V110" s="5" t="s">
        <v>304</v>
      </c>
      <c r="W110" s="5" t="s">
        <v>818</v>
      </c>
      <c r="X110" s="5" t="s">
        <v>301</v>
      </c>
      <c r="Y110" s="5" t="s">
        <v>304</v>
      </c>
      <c r="Z110" s="5" t="s">
        <v>304</v>
      </c>
      <c r="AA110" s="5" t="s">
        <v>304</v>
      </c>
      <c r="AB110" s="5" t="s">
        <v>304</v>
      </c>
      <c r="AC110" s="5" t="s">
        <v>819</v>
      </c>
      <c r="AD110" s="5" t="s">
        <v>307</v>
      </c>
      <c r="AE110" s="5">
        <v>10</v>
      </c>
      <c r="AF110" s="5" t="s">
        <v>411</v>
      </c>
      <c r="AG110" s="5" t="s">
        <v>307</v>
      </c>
      <c r="AH110" s="5" t="s">
        <v>820</v>
      </c>
      <c r="AI110" s="5"/>
    </row>
    <row r="111" spans="1:35" ht="27.75" customHeight="1">
      <c r="A111" s="5">
        <v>109</v>
      </c>
      <c r="B111" s="5" t="s">
        <v>297</v>
      </c>
      <c r="C111" s="5" t="s">
        <v>733</v>
      </c>
      <c r="D111" s="5" t="s">
        <v>337</v>
      </c>
      <c r="E111" s="5">
        <v>52</v>
      </c>
      <c r="F111" s="5" t="s">
        <v>300</v>
      </c>
      <c r="G111" s="5" t="s">
        <v>301</v>
      </c>
      <c r="H111" s="5" t="s">
        <v>821</v>
      </c>
      <c r="I111" s="5" t="s">
        <v>822</v>
      </c>
      <c r="J111" s="5" t="s">
        <v>304</v>
      </c>
      <c r="K111" s="5" t="s">
        <v>301</v>
      </c>
      <c r="L111" s="5" t="s">
        <v>304</v>
      </c>
      <c r="M111" s="5" t="s">
        <v>383</v>
      </c>
      <c r="N111" s="5" t="s">
        <v>304</v>
      </c>
      <c r="O111" s="5" t="s">
        <v>307</v>
      </c>
      <c r="P111" s="5" t="s">
        <v>304</v>
      </c>
      <c r="Q111" s="5" t="s">
        <v>301</v>
      </c>
      <c r="R111" s="5" t="s">
        <v>823</v>
      </c>
      <c r="S111" s="5" t="s">
        <v>301</v>
      </c>
      <c r="T111" s="5" t="s">
        <v>304</v>
      </c>
      <c r="U111" s="5" t="s">
        <v>304</v>
      </c>
      <c r="V111" s="5" t="s">
        <v>304</v>
      </c>
      <c r="W111" s="5" t="s">
        <v>824</v>
      </c>
      <c r="X111" s="5" t="s">
        <v>301</v>
      </c>
      <c r="Y111" s="5" t="s">
        <v>825</v>
      </c>
      <c r="Z111" s="5" t="s">
        <v>304</v>
      </c>
      <c r="AA111" s="5" t="s">
        <v>304</v>
      </c>
      <c r="AB111" s="5" t="s">
        <v>826</v>
      </c>
      <c r="AC111" s="5" t="s">
        <v>317</v>
      </c>
      <c r="AD111" s="5" t="s">
        <v>301</v>
      </c>
      <c r="AE111" s="5" t="s">
        <v>827</v>
      </c>
      <c r="AF111" s="5" t="s">
        <v>301</v>
      </c>
      <c r="AG111" s="5" t="s">
        <v>307</v>
      </c>
      <c r="AH111" s="5" t="s">
        <v>828</v>
      </c>
      <c r="AI111" s="5"/>
    </row>
    <row r="112" spans="1:35" ht="27.75" customHeight="1">
      <c r="A112" s="5">
        <v>110</v>
      </c>
      <c r="B112" s="5" t="s">
        <v>297</v>
      </c>
      <c r="C112" s="5" t="s">
        <v>500</v>
      </c>
      <c r="D112" s="5" t="s">
        <v>299</v>
      </c>
      <c r="E112" s="5">
        <v>46</v>
      </c>
      <c r="F112" s="5" t="s">
        <v>300</v>
      </c>
      <c r="G112" s="5" t="s">
        <v>301</v>
      </c>
      <c r="H112" s="5" t="s">
        <v>829</v>
      </c>
      <c r="I112" s="5" t="s">
        <v>304</v>
      </c>
      <c r="J112" s="5" t="s">
        <v>304</v>
      </c>
      <c r="K112" s="5" t="s">
        <v>565</v>
      </c>
      <c r="L112" s="5" t="s">
        <v>304</v>
      </c>
      <c r="M112" s="5" t="s">
        <v>306</v>
      </c>
      <c r="N112" s="5" t="s">
        <v>304</v>
      </c>
      <c r="O112" s="5" t="s">
        <v>307</v>
      </c>
      <c r="P112" s="5" t="s">
        <v>304</v>
      </c>
      <c r="Q112" s="5" t="s">
        <v>307</v>
      </c>
      <c r="R112" s="5" t="s">
        <v>830</v>
      </c>
      <c r="S112" s="5" t="s">
        <v>307</v>
      </c>
      <c r="T112" s="5" t="s">
        <v>304</v>
      </c>
      <c r="U112" s="5" t="s">
        <v>304</v>
      </c>
      <c r="V112" s="5" t="s">
        <v>304</v>
      </c>
      <c r="W112" s="5" t="s">
        <v>304</v>
      </c>
      <c r="X112" s="5" t="s">
        <v>831</v>
      </c>
      <c r="Y112" s="5" t="s">
        <v>304</v>
      </c>
      <c r="Z112" s="5" t="s">
        <v>304</v>
      </c>
      <c r="AA112" s="5" t="s">
        <v>304</v>
      </c>
      <c r="AB112" s="5" t="s">
        <v>818</v>
      </c>
      <c r="AC112" s="5" t="s">
        <v>327</v>
      </c>
      <c r="AD112" s="5" t="s">
        <v>301</v>
      </c>
      <c r="AE112" s="5">
        <v>0</v>
      </c>
      <c r="AF112" s="5" t="s">
        <v>411</v>
      </c>
      <c r="AG112" s="5" t="s">
        <v>411</v>
      </c>
      <c r="AH112" s="5" t="s">
        <v>832</v>
      </c>
      <c r="AI112" s="5"/>
    </row>
    <row r="113" spans="1:35" ht="15" customHeight="1">
      <c r="A113" s="5">
        <v>111</v>
      </c>
      <c r="B113" s="5" t="s">
        <v>297</v>
      </c>
      <c r="C113" s="5" t="s">
        <v>500</v>
      </c>
      <c r="D113" s="5" t="s">
        <v>299</v>
      </c>
      <c r="E113" s="5">
        <v>27</v>
      </c>
      <c r="F113" s="5" t="s">
        <v>300</v>
      </c>
      <c r="G113" s="5" t="s">
        <v>301</v>
      </c>
      <c r="H113" s="5" t="s">
        <v>833</v>
      </c>
      <c r="I113" s="5" t="s">
        <v>304</v>
      </c>
      <c r="J113" s="5" t="s">
        <v>304</v>
      </c>
      <c r="K113" s="5" t="s">
        <v>411</v>
      </c>
      <c r="L113" s="5" t="s">
        <v>304</v>
      </c>
      <c r="M113" s="5" t="s">
        <v>306</v>
      </c>
      <c r="N113" s="5" t="s">
        <v>304</v>
      </c>
      <c r="O113" s="5" t="s">
        <v>307</v>
      </c>
      <c r="P113" s="5" t="s">
        <v>304</v>
      </c>
      <c r="Q113" s="5" t="s">
        <v>301</v>
      </c>
      <c r="R113" s="5" t="s">
        <v>304</v>
      </c>
      <c r="S113" s="5" t="s">
        <v>307</v>
      </c>
      <c r="T113" s="5" t="s">
        <v>304</v>
      </c>
      <c r="U113" s="5" t="s">
        <v>304</v>
      </c>
      <c r="V113" s="5" t="s">
        <v>304</v>
      </c>
      <c r="W113" s="5" t="s">
        <v>834</v>
      </c>
      <c r="X113" s="5" t="s">
        <v>307</v>
      </c>
      <c r="Y113" s="5" t="s">
        <v>304</v>
      </c>
      <c r="Z113" s="5" t="s">
        <v>304</v>
      </c>
      <c r="AA113" s="5" t="s">
        <v>304</v>
      </c>
      <c r="AB113" s="5" t="s">
        <v>304</v>
      </c>
      <c r="AC113" s="5" t="s">
        <v>327</v>
      </c>
      <c r="AD113" s="5" t="s">
        <v>307</v>
      </c>
      <c r="AE113" s="5">
        <v>0</v>
      </c>
      <c r="AF113" s="5" t="s">
        <v>301</v>
      </c>
      <c r="AG113" s="5" t="s">
        <v>307</v>
      </c>
      <c r="AH113" s="5" t="s">
        <v>835</v>
      </c>
      <c r="AI113" s="5"/>
    </row>
    <row r="114" spans="1:35" ht="27.75" customHeight="1">
      <c r="A114" s="5">
        <v>112</v>
      </c>
      <c r="B114" s="5" t="s">
        <v>297</v>
      </c>
      <c r="C114" s="5" t="s">
        <v>500</v>
      </c>
      <c r="D114" s="5" t="s">
        <v>299</v>
      </c>
      <c r="E114" s="5">
        <v>24</v>
      </c>
      <c r="F114" s="5" t="s">
        <v>300</v>
      </c>
      <c r="G114" s="5" t="s">
        <v>301</v>
      </c>
      <c r="H114" s="5" t="s">
        <v>302</v>
      </c>
      <c r="I114" s="5" t="s">
        <v>304</v>
      </c>
      <c r="J114" s="5" t="s">
        <v>836</v>
      </c>
      <c r="K114" s="5" t="s">
        <v>301</v>
      </c>
      <c r="L114" s="5" t="s">
        <v>304</v>
      </c>
      <c r="M114" s="5" t="s">
        <v>306</v>
      </c>
      <c r="N114" s="5" t="s">
        <v>304</v>
      </c>
      <c r="O114" s="5" t="s">
        <v>307</v>
      </c>
      <c r="P114" s="5" t="s">
        <v>304</v>
      </c>
      <c r="Q114" s="5" t="s">
        <v>301</v>
      </c>
      <c r="R114" s="5" t="s">
        <v>837</v>
      </c>
      <c r="S114" s="5" t="s">
        <v>301</v>
      </c>
      <c r="T114" s="5" t="s">
        <v>838</v>
      </c>
      <c r="U114" s="5" t="s">
        <v>304</v>
      </c>
      <c r="V114" s="5" t="s">
        <v>304</v>
      </c>
      <c r="W114" s="5" t="s">
        <v>304</v>
      </c>
      <c r="X114" s="5" t="s">
        <v>839</v>
      </c>
      <c r="Y114" s="5" t="s">
        <v>304</v>
      </c>
      <c r="Z114" s="5" t="s">
        <v>304</v>
      </c>
      <c r="AA114" s="5" t="s">
        <v>304</v>
      </c>
      <c r="AB114" s="5" t="s">
        <v>304</v>
      </c>
      <c r="AC114" s="5" t="s">
        <v>327</v>
      </c>
      <c r="AD114" s="5" t="s">
        <v>307</v>
      </c>
      <c r="AE114" s="5" t="s">
        <v>411</v>
      </c>
      <c r="AF114" s="5" t="s">
        <v>301</v>
      </c>
      <c r="AG114" s="5" t="s">
        <v>307</v>
      </c>
      <c r="AH114" s="5" t="s">
        <v>840</v>
      </c>
      <c r="AI114" s="5" t="s">
        <v>808</v>
      </c>
    </row>
    <row r="115" spans="1:35" ht="27.75" customHeight="1">
      <c r="A115" s="5">
        <v>113</v>
      </c>
      <c r="B115" s="5" t="s">
        <v>297</v>
      </c>
      <c r="C115" s="5" t="s">
        <v>500</v>
      </c>
      <c r="D115" s="5" t="s">
        <v>299</v>
      </c>
      <c r="E115" s="5">
        <v>29</v>
      </c>
      <c r="F115" s="5" t="s">
        <v>300</v>
      </c>
      <c r="G115" s="5" t="s">
        <v>301</v>
      </c>
      <c r="H115" s="5" t="s">
        <v>311</v>
      </c>
      <c r="I115" s="5" t="s">
        <v>841</v>
      </c>
      <c r="J115" s="5" t="s">
        <v>304</v>
      </c>
      <c r="K115" s="5" t="s">
        <v>308</v>
      </c>
      <c r="L115" s="5" t="s">
        <v>304</v>
      </c>
      <c r="M115" s="5" t="s">
        <v>306</v>
      </c>
      <c r="N115" s="5" t="s">
        <v>304</v>
      </c>
      <c r="O115" s="5" t="s">
        <v>307</v>
      </c>
      <c r="P115" s="5" t="s">
        <v>304</v>
      </c>
      <c r="Q115" s="5" t="s">
        <v>301</v>
      </c>
      <c r="R115" s="5" t="s">
        <v>304</v>
      </c>
      <c r="S115" s="5" t="s">
        <v>307</v>
      </c>
      <c r="T115" s="5" t="s">
        <v>304</v>
      </c>
      <c r="U115" s="5" t="s">
        <v>304</v>
      </c>
      <c r="V115" s="5" t="s">
        <v>304</v>
      </c>
      <c r="W115" s="5" t="s">
        <v>304</v>
      </c>
      <c r="X115" s="5" t="s">
        <v>308</v>
      </c>
      <c r="Y115" s="5" t="s">
        <v>304</v>
      </c>
      <c r="Z115" s="5" t="s">
        <v>304</v>
      </c>
      <c r="AA115" s="5" t="s">
        <v>304</v>
      </c>
      <c r="AB115" s="5" t="s">
        <v>304</v>
      </c>
      <c r="AC115" s="5" t="s">
        <v>327</v>
      </c>
      <c r="AD115" s="5" t="s">
        <v>301</v>
      </c>
      <c r="AE115" s="5">
        <v>0</v>
      </c>
      <c r="AF115" s="5" t="s">
        <v>301</v>
      </c>
      <c r="AG115" s="5" t="s">
        <v>307</v>
      </c>
      <c r="AH115" s="5" t="s">
        <v>842</v>
      </c>
      <c r="AI115" s="5"/>
    </row>
    <row r="116" spans="1:35" ht="15" customHeight="1">
      <c r="A116" s="5">
        <v>114</v>
      </c>
      <c r="B116" s="5" t="s">
        <v>297</v>
      </c>
      <c r="C116" s="5" t="s">
        <v>733</v>
      </c>
      <c r="D116" s="5" t="s">
        <v>337</v>
      </c>
      <c r="E116" s="5">
        <v>29</v>
      </c>
      <c r="F116" s="5" t="s">
        <v>300</v>
      </c>
      <c r="G116" s="5" t="s">
        <v>301</v>
      </c>
      <c r="H116" s="5" t="s">
        <v>310</v>
      </c>
      <c r="I116" s="5" t="s">
        <v>304</v>
      </c>
      <c r="J116" s="5" t="s">
        <v>304</v>
      </c>
      <c r="K116" s="5" t="s">
        <v>308</v>
      </c>
      <c r="L116" s="5" t="s">
        <v>304</v>
      </c>
      <c r="M116" s="5" t="s">
        <v>843</v>
      </c>
      <c r="N116" s="5" t="s">
        <v>821</v>
      </c>
      <c r="O116" s="5" t="s">
        <v>307</v>
      </c>
      <c r="P116" s="5" t="s">
        <v>304</v>
      </c>
      <c r="Q116" s="5" t="s">
        <v>301</v>
      </c>
      <c r="R116" s="5" t="s">
        <v>844</v>
      </c>
      <c r="S116" s="5" t="s">
        <v>307</v>
      </c>
      <c r="T116" s="5" t="s">
        <v>304</v>
      </c>
      <c r="U116" s="5" t="s">
        <v>304</v>
      </c>
      <c r="V116" s="5" t="s">
        <v>304</v>
      </c>
      <c r="W116" s="5" t="s">
        <v>304</v>
      </c>
      <c r="X116" s="5" t="s">
        <v>307</v>
      </c>
      <c r="Y116" s="5" t="s">
        <v>304</v>
      </c>
      <c r="Z116" s="5" t="s">
        <v>304</v>
      </c>
      <c r="AA116" s="5" t="s">
        <v>304</v>
      </c>
      <c r="AB116" s="5" t="s">
        <v>304</v>
      </c>
      <c r="AC116" s="5" t="s">
        <v>327</v>
      </c>
      <c r="AD116" s="5" t="s">
        <v>301</v>
      </c>
      <c r="AE116" s="5" t="s">
        <v>411</v>
      </c>
      <c r="AF116" s="5" t="s">
        <v>411</v>
      </c>
      <c r="AG116" s="5" t="s">
        <v>411</v>
      </c>
      <c r="AH116" s="5" t="s">
        <v>411</v>
      </c>
      <c r="AI116" s="5"/>
    </row>
    <row r="117" spans="1:35" ht="27.75" customHeight="1">
      <c r="A117" s="5">
        <v>115</v>
      </c>
      <c r="B117" s="5" t="s">
        <v>297</v>
      </c>
      <c r="C117" s="5" t="s">
        <v>733</v>
      </c>
      <c r="D117" s="5" t="s">
        <v>337</v>
      </c>
      <c r="E117" s="5">
        <v>32</v>
      </c>
      <c r="F117" s="5" t="s">
        <v>300</v>
      </c>
      <c r="G117" s="5" t="s">
        <v>301</v>
      </c>
      <c r="H117" s="5" t="s">
        <v>821</v>
      </c>
      <c r="I117" s="5" t="s">
        <v>845</v>
      </c>
      <c r="J117" s="5" t="s">
        <v>846</v>
      </c>
      <c r="K117" s="5" t="s">
        <v>308</v>
      </c>
      <c r="L117" s="5" t="s">
        <v>304</v>
      </c>
      <c r="M117" s="5" t="s">
        <v>843</v>
      </c>
      <c r="N117" s="5" t="s">
        <v>847</v>
      </c>
      <c r="O117" s="5" t="s">
        <v>307</v>
      </c>
      <c r="P117" s="5" t="s">
        <v>304</v>
      </c>
      <c r="Q117" s="5" t="s">
        <v>308</v>
      </c>
      <c r="R117" s="5" t="s">
        <v>848</v>
      </c>
      <c r="S117" s="5" t="s">
        <v>307</v>
      </c>
      <c r="T117" s="5" t="s">
        <v>304</v>
      </c>
      <c r="U117" s="5" t="s">
        <v>304</v>
      </c>
      <c r="V117" s="5" t="s">
        <v>304</v>
      </c>
      <c r="W117" s="5" t="s">
        <v>304</v>
      </c>
      <c r="X117" s="5" t="s">
        <v>301</v>
      </c>
      <c r="Y117" s="5" t="s">
        <v>304</v>
      </c>
      <c r="Z117" s="5" t="s">
        <v>304</v>
      </c>
      <c r="AA117" s="5" t="s">
        <v>304</v>
      </c>
      <c r="AB117" s="5" t="s">
        <v>849</v>
      </c>
      <c r="AC117" s="5" t="s">
        <v>371</v>
      </c>
      <c r="AD117" s="5" t="s">
        <v>307</v>
      </c>
      <c r="AE117" s="5">
        <v>0</v>
      </c>
      <c r="AF117" s="5" t="s">
        <v>411</v>
      </c>
      <c r="AG117" s="5" t="s">
        <v>411</v>
      </c>
      <c r="AH117" s="5" t="s">
        <v>850</v>
      </c>
      <c r="AI117" s="5"/>
    </row>
    <row r="118" spans="1:35" ht="41.25" customHeight="1">
      <c r="A118" s="5">
        <v>116</v>
      </c>
      <c r="B118" s="5" t="s">
        <v>297</v>
      </c>
      <c r="C118" s="5" t="s">
        <v>733</v>
      </c>
      <c r="D118" s="5" t="s">
        <v>337</v>
      </c>
      <c r="E118" s="5">
        <v>38</v>
      </c>
      <c r="F118" s="5" t="s">
        <v>300</v>
      </c>
      <c r="G118" s="5" t="s">
        <v>301</v>
      </c>
      <c r="H118" s="5" t="s">
        <v>851</v>
      </c>
      <c r="I118" s="5" t="s">
        <v>829</v>
      </c>
      <c r="J118" s="5" t="s">
        <v>304</v>
      </c>
      <c r="K118" s="5" t="s">
        <v>301</v>
      </c>
      <c r="L118" s="5" t="s">
        <v>304</v>
      </c>
      <c r="M118" s="5" t="s">
        <v>843</v>
      </c>
      <c r="N118" s="5" t="s">
        <v>852</v>
      </c>
      <c r="O118" s="5" t="s">
        <v>307</v>
      </c>
      <c r="P118" s="5" t="s">
        <v>304</v>
      </c>
      <c r="Q118" s="5" t="s">
        <v>308</v>
      </c>
      <c r="R118" s="5" t="s">
        <v>304</v>
      </c>
      <c r="S118" s="5" t="s">
        <v>301</v>
      </c>
      <c r="T118" s="6" t="s">
        <v>853</v>
      </c>
      <c r="U118" s="5" t="s">
        <v>304</v>
      </c>
      <c r="V118" s="5" t="s">
        <v>304</v>
      </c>
      <c r="W118" s="5" t="s">
        <v>818</v>
      </c>
      <c r="X118" s="5" t="s">
        <v>308</v>
      </c>
      <c r="Y118" s="5" t="s">
        <v>304</v>
      </c>
      <c r="Z118" s="5" t="s">
        <v>304</v>
      </c>
      <c r="AA118" s="5" t="s">
        <v>304</v>
      </c>
      <c r="AB118" s="5" t="s">
        <v>304</v>
      </c>
      <c r="AC118" s="5" t="s">
        <v>371</v>
      </c>
      <c r="AD118" s="5" t="s">
        <v>301</v>
      </c>
      <c r="AE118" s="5" t="s">
        <v>854</v>
      </c>
      <c r="AF118" s="5" t="s">
        <v>498</v>
      </c>
      <c r="AG118" s="5" t="s">
        <v>307</v>
      </c>
      <c r="AH118" s="5" t="s">
        <v>855</v>
      </c>
      <c r="AI118" s="5"/>
    </row>
    <row r="119" spans="1:35" ht="41.25" customHeight="1">
      <c r="A119" s="5">
        <v>117</v>
      </c>
      <c r="B119" s="5" t="s">
        <v>297</v>
      </c>
      <c r="C119" s="5" t="s">
        <v>856</v>
      </c>
      <c r="D119" s="5" t="s">
        <v>488</v>
      </c>
      <c r="E119" s="5">
        <v>51</v>
      </c>
      <c r="F119" s="5" t="s">
        <v>300</v>
      </c>
      <c r="G119" s="5" t="s">
        <v>301</v>
      </c>
      <c r="H119" s="5" t="s">
        <v>821</v>
      </c>
      <c r="I119" s="5" t="s">
        <v>857</v>
      </c>
      <c r="J119" s="5" t="s">
        <v>829</v>
      </c>
      <c r="K119" s="5" t="s">
        <v>565</v>
      </c>
      <c r="L119" s="5" t="s">
        <v>304</v>
      </c>
      <c r="M119" s="5" t="s">
        <v>306</v>
      </c>
      <c r="N119" s="5" t="s">
        <v>858</v>
      </c>
      <c r="O119" s="5" t="s">
        <v>307</v>
      </c>
      <c r="P119" s="5" t="s">
        <v>304</v>
      </c>
      <c r="Q119" s="5" t="s">
        <v>301</v>
      </c>
      <c r="R119" s="5" t="s">
        <v>304</v>
      </c>
      <c r="S119" s="5" t="s">
        <v>307</v>
      </c>
      <c r="T119" s="5" t="s">
        <v>304</v>
      </c>
      <c r="U119" s="5" t="s">
        <v>304</v>
      </c>
      <c r="V119" s="5" t="s">
        <v>304</v>
      </c>
      <c r="W119" s="5" t="s">
        <v>304</v>
      </c>
      <c r="X119" s="5" t="s">
        <v>307</v>
      </c>
      <c r="Y119" s="5" t="s">
        <v>304</v>
      </c>
      <c r="Z119" s="5" t="s">
        <v>304</v>
      </c>
      <c r="AA119" s="5" t="s">
        <v>304</v>
      </c>
      <c r="AB119" s="5" t="s">
        <v>859</v>
      </c>
      <c r="AC119" s="5" t="s">
        <v>327</v>
      </c>
      <c r="AD119" s="5" t="s">
        <v>307</v>
      </c>
      <c r="AE119" s="5">
        <v>0</v>
      </c>
      <c r="AF119" s="5" t="s">
        <v>411</v>
      </c>
      <c r="AG119" s="5" t="s">
        <v>411</v>
      </c>
      <c r="AH119" s="5" t="s">
        <v>860</v>
      </c>
      <c r="AI119" s="5"/>
    </row>
    <row r="120" spans="1:35" ht="27.75" customHeight="1">
      <c r="A120" s="5">
        <v>118</v>
      </c>
      <c r="B120" s="5" t="s">
        <v>297</v>
      </c>
      <c r="C120" s="5" t="s">
        <v>861</v>
      </c>
      <c r="D120" s="5" t="s">
        <v>488</v>
      </c>
      <c r="E120" s="5">
        <v>45</v>
      </c>
      <c r="F120" s="5" t="s">
        <v>300</v>
      </c>
      <c r="G120" s="5" t="s">
        <v>301</v>
      </c>
      <c r="H120" s="5" t="s">
        <v>310</v>
      </c>
      <c r="I120" s="5" t="s">
        <v>303</v>
      </c>
      <c r="J120" s="5" t="s">
        <v>304</v>
      </c>
      <c r="K120" s="5" t="s">
        <v>301</v>
      </c>
      <c r="L120" s="5" t="s">
        <v>304</v>
      </c>
      <c r="M120" s="5" t="s">
        <v>843</v>
      </c>
      <c r="N120" s="5" t="s">
        <v>862</v>
      </c>
      <c r="O120" s="5" t="s">
        <v>407</v>
      </c>
      <c r="P120" s="5" t="s">
        <v>304</v>
      </c>
      <c r="Q120" s="5" t="s">
        <v>301</v>
      </c>
      <c r="R120" s="5" t="s">
        <v>304</v>
      </c>
      <c r="S120" s="5" t="s">
        <v>307</v>
      </c>
      <c r="T120" s="5" t="s">
        <v>304</v>
      </c>
      <c r="U120" s="5" t="s">
        <v>304</v>
      </c>
      <c r="V120" s="5" t="s">
        <v>304</v>
      </c>
      <c r="W120" s="5" t="s">
        <v>304</v>
      </c>
      <c r="X120" s="5" t="s">
        <v>307</v>
      </c>
      <c r="Y120" s="5" t="s">
        <v>304</v>
      </c>
      <c r="Z120" s="5" t="s">
        <v>304</v>
      </c>
      <c r="AA120" s="5" t="s">
        <v>304</v>
      </c>
      <c r="AB120" s="5" t="s">
        <v>304</v>
      </c>
      <c r="AC120" s="5" t="s">
        <v>327</v>
      </c>
      <c r="AD120" s="5" t="s">
        <v>411</v>
      </c>
      <c r="AE120" s="5">
        <v>0</v>
      </c>
      <c r="AF120" s="5" t="s">
        <v>411</v>
      </c>
      <c r="AG120" s="5" t="s">
        <v>411</v>
      </c>
      <c r="AH120" s="5" t="s">
        <v>863</v>
      </c>
      <c r="AI120" s="5"/>
    </row>
    <row r="121" spans="1:35" ht="27.75" customHeight="1">
      <c r="A121" s="5">
        <v>119</v>
      </c>
      <c r="B121" s="5" t="s">
        <v>297</v>
      </c>
      <c r="C121" s="5" t="s">
        <v>856</v>
      </c>
      <c r="D121" s="5" t="s">
        <v>488</v>
      </c>
      <c r="E121" s="5">
        <v>42</v>
      </c>
      <c r="F121" s="5" t="s">
        <v>300</v>
      </c>
      <c r="G121" s="5" t="s">
        <v>307</v>
      </c>
      <c r="H121" s="5" t="s">
        <v>818</v>
      </c>
      <c r="I121" s="5" t="s">
        <v>818</v>
      </c>
      <c r="J121" s="5" t="s">
        <v>304</v>
      </c>
      <c r="K121" s="5" t="s">
        <v>308</v>
      </c>
      <c r="L121" s="5" t="s">
        <v>304</v>
      </c>
      <c r="M121" s="5" t="s">
        <v>306</v>
      </c>
      <c r="N121" s="5" t="s">
        <v>304</v>
      </c>
      <c r="O121" s="5" t="s">
        <v>307</v>
      </c>
      <c r="P121" s="5" t="s">
        <v>864</v>
      </c>
      <c r="Q121" s="5" t="s">
        <v>301</v>
      </c>
      <c r="R121" s="5" t="s">
        <v>865</v>
      </c>
      <c r="S121" s="5" t="s">
        <v>307</v>
      </c>
      <c r="T121" s="5" t="s">
        <v>304</v>
      </c>
      <c r="U121" s="5" t="s">
        <v>304</v>
      </c>
      <c r="V121" s="5" t="s">
        <v>304</v>
      </c>
      <c r="W121" s="5" t="s">
        <v>304</v>
      </c>
      <c r="X121" s="5" t="s">
        <v>307</v>
      </c>
      <c r="Y121" s="5" t="s">
        <v>304</v>
      </c>
      <c r="Z121" s="5" t="s">
        <v>304</v>
      </c>
      <c r="AA121" s="5" t="s">
        <v>304</v>
      </c>
      <c r="AB121" s="5" t="s">
        <v>304</v>
      </c>
      <c r="AC121" s="5" t="s">
        <v>327</v>
      </c>
      <c r="AD121" s="5" t="s">
        <v>307</v>
      </c>
      <c r="AE121" s="5">
        <v>0</v>
      </c>
      <c r="AF121" s="5" t="s">
        <v>411</v>
      </c>
      <c r="AG121" s="5" t="s">
        <v>411</v>
      </c>
      <c r="AH121" s="5" t="s">
        <v>866</v>
      </c>
      <c r="AI121" s="5"/>
    </row>
    <row r="122" spans="1:35" ht="15" customHeight="1">
      <c r="A122" s="5">
        <v>120</v>
      </c>
      <c r="B122" s="5" t="s">
        <v>297</v>
      </c>
      <c r="C122" s="5" t="s">
        <v>867</v>
      </c>
      <c r="D122" s="5" t="s">
        <v>337</v>
      </c>
      <c r="E122" s="5">
        <v>26</v>
      </c>
      <c r="F122" s="5" t="s">
        <v>300</v>
      </c>
      <c r="G122" s="5" t="s">
        <v>301</v>
      </c>
      <c r="H122" s="5" t="s">
        <v>833</v>
      </c>
      <c r="I122" s="5" t="s">
        <v>868</v>
      </c>
      <c r="J122" s="5" t="s">
        <v>304</v>
      </c>
      <c r="K122" s="5" t="s">
        <v>565</v>
      </c>
      <c r="L122" s="5" t="s">
        <v>304</v>
      </c>
      <c r="M122" s="5" t="s">
        <v>383</v>
      </c>
      <c r="N122" s="5" t="s">
        <v>869</v>
      </c>
      <c r="O122" s="5" t="s">
        <v>307</v>
      </c>
      <c r="P122" s="5"/>
      <c r="Q122" s="5" t="s">
        <v>301</v>
      </c>
      <c r="R122" s="5" t="s">
        <v>304</v>
      </c>
      <c r="S122" s="5" t="s">
        <v>301</v>
      </c>
      <c r="T122" s="5" t="s">
        <v>870</v>
      </c>
      <c r="U122" s="5" t="s">
        <v>304</v>
      </c>
      <c r="V122" s="5" t="s">
        <v>304</v>
      </c>
      <c r="W122" s="5" t="s">
        <v>304</v>
      </c>
      <c r="X122" s="5" t="s">
        <v>871</v>
      </c>
      <c r="Y122" s="5" t="s">
        <v>304</v>
      </c>
      <c r="Z122" s="5" t="s">
        <v>304</v>
      </c>
      <c r="AA122" s="5" t="s">
        <v>304</v>
      </c>
      <c r="AB122" s="5" t="s">
        <v>304</v>
      </c>
      <c r="AC122" s="5" t="s">
        <v>371</v>
      </c>
      <c r="AD122" s="5" t="s">
        <v>301</v>
      </c>
      <c r="AE122" s="5">
        <v>0</v>
      </c>
      <c r="AF122" s="5" t="s">
        <v>308</v>
      </c>
      <c r="AG122" s="5" t="s">
        <v>308</v>
      </c>
      <c r="AH122" s="5" t="s">
        <v>308</v>
      </c>
      <c r="AI122" s="5"/>
    </row>
    <row r="123" spans="1:35" ht="27.75" customHeight="1">
      <c r="A123" s="5">
        <v>121</v>
      </c>
      <c r="B123" s="5" t="s">
        <v>297</v>
      </c>
      <c r="C123" s="5" t="s">
        <v>867</v>
      </c>
      <c r="D123" s="5" t="s">
        <v>337</v>
      </c>
      <c r="E123" s="5">
        <v>30</v>
      </c>
      <c r="F123" s="5" t="s">
        <v>300</v>
      </c>
      <c r="G123" s="5" t="s">
        <v>301</v>
      </c>
      <c r="H123" s="5" t="s">
        <v>872</v>
      </c>
      <c r="I123" s="5" t="s">
        <v>833</v>
      </c>
      <c r="J123" s="5" t="s">
        <v>304</v>
      </c>
      <c r="K123" s="5" t="s">
        <v>308</v>
      </c>
      <c r="L123" s="5" t="s">
        <v>304</v>
      </c>
      <c r="M123" s="5" t="s">
        <v>383</v>
      </c>
      <c r="N123" s="5" t="s">
        <v>873</v>
      </c>
      <c r="O123" s="5" t="s">
        <v>307</v>
      </c>
      <c r="P123" s="5" t="s">
        <v>304</v>
      </c>
      <c r="Q123" s="5" t="s">
        <v>301</v>
      </c>
      <c r="R123" s="5" t="s">
        <v>304</v>
      </c>
      <c r="S123" s="5" t="s">
        <v>301</v>
      </c>
      <c r="T123" s="5" t="s">
        <v>304</v>
      </c>
      <c r="U123" s="5" t="s">
        <v>304</v>
      </c>
      <c r="V123" s="5" t="s">
        <v>304</v>
      </c>
      <c r="W123" s="5" t="s">
        <v>304</v>
      </c>
      <c r="X123" s="5" t="s">
        <v>304</v>
      </c>
      <c r="Y123" s="5" t="s">
        <v>304</v>
      </c>
      <c r="Z123" s="5" t="s">
        <v>304</v>
      </c>
      <c r="AA123" s="5" t="s">
        <v>304</v>
      </c>
      <c r="AB123" s="5" t="s">
        <v>304</v>
      </c>
      <c r="AC123" s="5" t="s">
        <v>304</v>
      </c>
      <c r="AD123" s="5" t="s">
        <v>304</v>
      </c>
      <c r="AE123" s="5" t="s">
        <v>304</v>
      </c>
      <c r="AF123" s="5" t="s">
        <v>304</v>
      </c>
      <c r="AG123" s="5" t="s">
        <v>304</v>
      </c>
      <c r="AH123" s="5" t="s">
        <v>304</v>
      </c>
      <c r="AI123" s="5"/>
    </row>
    <row r="124" spans="1:35" ht="41.25" customHeight="1">
      <c r="A124" s="5">
        <v>122</v>
      </c>
      <c r="B124" s="5" t="s">
        <v>297</v>
      </c>
      <c r="C124" s="5" t="s">
        <v>861</v>
      </c>
      <c r="D124" s="5" t="s">
        <v>488</v>
      </c>
      <c r="E124" s="5">
        <v>32</v>
      </c>
      <c r="F124" s="5" t="s">
        <v>300</v>
      </c>
      <c r="G124" s="5" t="s">
        <v>301</v>
      </c>
      <c r="H124" s="5" t="s">
        <v>833</v>
      </c>
      <c r="I124" s="5" t="s">
        <v>821</v>
      </c>
      <c r="J124" s="5" t="s">
        <v>874</v>
      </c>
      <c r="K124" s="5" t="s">
        <v>301</v>
      </c>
      <c r="L124" s="5" t="s">
        <v>304</v>
      </c>
      <c r="M124" s="5" t="s">
        <v>843</v>
      </c>
      <c r="N124" s="5" t="s">
        <v>875</v>
      </c>
      <c r="O124" s="5" t="s">
        <v>307</v>
      </c>
      <c r="P124" s="5" t="s">
        <v>304</v>
      </c>
      <c r="Q124" s="5" t="s">
        <v>301</v>
      </c>
      <c r="R124" s="5" t="s">
        <v>304</v>
      </c>
      <c r="S124" s="5" t="s">
        <v>301</v>
      </c>
      <c r="T124" s="5" t="s">
        <v>876</v>
      </c>
      <c r="U124" s="5" t="s">
        <v>304</v>
      </c>
      <c r="V124" s="5" t="s">
        <v>464</v>
      </c>
      <c r="W124" s="5" t="s">
        <v>818</v>
      </c>
      <c r="X124" s="5" t="s">
        <v>301</v>
      </c>
      <c r="Y124" s="5" t="s">
        <v>304</v>
      </c>
      <c r="Z124" s="5" t="s">
        <v>304</v>
      </c>
      <c r="AA124" s="5" t="s">
        <v>304</v>
      </c>
      <c r="AB124" s="5" t="s">
        <v>877</v>
      </c>
      <c r="AC124" s="5" t="s">
        <v>327</v>
      </c>
      <c r="AD124" s="5" t="s">
        <v>301</v>
      </c>
      <c r="AE124" s="5">
        <v>0</v>
      </c>
      <c r="AF124" s="5" t="s">
        <v>411</v>
      </c>
      <c r="AG124" s="5" t="s">
        <v>411</v>
      </c>
      <c r="AH124" s="5"/>
      <c r="AI124" s="5"/>
    </row>
    <row r="125" spans="1:35" ht="15" customHeight="1">
      <c r="A125" s="5">
        <v>123</v>
      </c>
      <c r="B125" s="5" t="s">
        <v>297</v>
      </c>
      <c r="C125" s="5" t="s">
        <v>867</v>
      </c>
      <c r="D125" s="5" t="s">
        <v>337</v>
      </c>
      <c r="E125" s="5">
        <v>35</v>
      </c>
      <c r="F125" s="5" t="s">
        <v>300</v>
      </c>
      <c r="G125" s="5" t="s">
        <v>301</v>
      </c>
      <c r="H125" s="5" t="s">
        <v>328</v>
      </c>
      <c r="I125" s="5" t="s">
        <v>729</v>
      </c>
      <c r="J125" s="5" t="s">
        <v>304</v>
      </c>
      <c r="K125" s="5" t="s">
        <v>301</v>
      </c>
      <c r="L125" s="5" t="s">
        <v>304</v>
      </c>
      <c r="M125" s="5" t="s">
        <v>383</v>
      </c>
      <c r="N125" s="5" t="s">
        <v>304</v>
      </c>
      <c r="O125" s="5" t="s">
        <v>307</v>
      </c>
      <c r="P125" s="5" t="s">
        <v>304</v>
      </c>
      <c r="Q125" s="5" t="s">
        <v>301</v>
      </c>
      <c r="R125" s="5" t="s">
        <v>304</v>
      </c>
      <c r="S125" s="5" t="s">
        <v>307</v>
      </c>
      <c r="T125" s="5" t="s">
        <v>304</v>
      </c>
      <c r="U125" s="5" t="s">
        <v>304</v>
      </c>
      <c r="V125" s="5" t="s">
        <v>304</v>
      </c>
      <c r="W125" s="5" t="s">
        <v>304</v>
      </c>
      <c r="X125" s="5" t="s">
        <v>301</v>
      </c>
      <c r="Y125" s="5" t="s">
        <v>304</v>
      </c>
      <c r="Z125" s="5" t="s">
        <v>304</v>
      </c>
      <c r="AA125" s="5" t="s">
        <v>304</v>
      </c>
      <c r="AB125" s="5" t="s">
        <v>878</v>
      </c>
      <c r="AC125" s="5" t="s">
        <v>308</v>
      </c>
      <c r="AD125" s="5" t="s">
        <v>301</v>
      </c>
      <c r="AE125" s="5">
        <v>0</v>
      </c>
      <c r="AF125" s="5" t="s">
        <v>411</v>
      </c>
      <c r="AG125" s="5" t="s">
        <v>411</v>
      </c>
      <c r="AH125" s="5" t="s">
        <v>411</v>
      </c>
      <c r="AI125" s="5"/>
    </row>
    <row r="126" spans="1:35" ht="15" customHeight="1">
      <c r="A126" s="5">
        <v>124</v>
      </c>
      <c r="B126" s="5" t="s">
        <v>297</v>
      </c>
      <c r="C126" s="5" t="s">
        <v>861</v>
      </c>
      <c r="D126" s="5" t="s">
        <v>488</v>
      </c>
      <c r="E126" s="5">
        <v>45</v>
      </c>
      <c r="F126" s="5" t="s">
        <v>300</v>
      </c>
      <c r="G126" s="5" t="s">
        <v>301</v>
      </c>
      <c r="H126" s="5" t="s">
        <v>879</v>
      </c>
      <c r="I126" s="5" t="s">
        <v>880</v>
      </c>
      <c r="J126" s="5" t="s">
        <v>304</v>
      </c>
      <c r="K126" s="5" t="s">
        <v>301</v>
      </c>
      <c r="L126" s="5"/>
      <c r="M126" s="5" t="s">
        <v>843</v>
      </c>
      <c r="N126" s="5" t="s">
        <v>881</v>
      </c>
      <c r="O126" s="5" t="s">
        <v>307</v>
      </c>
      <c r="P126" s="5" t="s">
        <v>304</v>
      </c>
      <c r="Q126" s="5" t="s">
        <v>301</v>
      </c>
      <c r="R126" s="5" t="s">
        <v>304</v>
      </c>
      <c r="S126" s="5" t="s">
        <v>307</v>
      </c>
      <c r="T126" s="5" t="s">
        <v>304</v>
      </c>
      <c r="U126" s="5" t="s">
        <v>304</v>
      </c>
      <c r="V126" s="5" t="s">
        <v>304</v>
      </c>
      <c r="W126" s="5" t="s">
        <v>304</v>
      </c>
      <c r="X126" s="5" t="s">
        <v>301</v>
      </c>
      <c r="Y126" s="5" t="s">
        <v>304</v>
      </c>
      <c r="Z126" s="5" t="s">
        <v>304</v>
      </c>
      <c r="AA126" s="5" t="s">
        <v>304</v>
      </c>
      <c r="AB126" s="5" t="s">
        <v>304</v>
      </c>
      <c r="AC126" s="5" t="s">
        <v>371</v>
      </c>
      <c r="AD126" s="5" t="s">
        <v>308</v>
      </c>
      <c r="AE126" s="5">
        <v>0</v>
      </c>
      <c r="AF126" s="5" t="s">
        <v>411</v>
      </c>
      <c r="AG126" s="5" t="s">
        <v>411</v>
      </c>
      <c r="AH126" s="5" t="s">
        <v>411</v>
      </c>
      <c r="AI126" s="5"/>
    </row>
    <row r="127" spans="1:35" ht="41.25" customHeight="1">
      <c r="A127" s="5">
        <v>125</v>
      </c>
      <c r="B127" s="5" t="s">
        <v>297</v>
      </c>
      <c r="C127" s="5" t="s">
        <v>882</v>
      </c>
      <c r="D127" s="5" t="s">
        <v>337</v>
      </c>
      <c r="E127" s="5">
        <v>47</v>
      </c>
      <c r="F127" s="5" t="s">
        <v>300</v>
      </c>
      <c r="G127" s="5" t="s">
        <v>301</v>
      </c>
      <c r="H127" s="5" t="s">
        <v>833</v>
      </c>
      <c r="I127" s="5" t="s">
        <v>821</v>
      </c>
      <c r="J127" s="5" t="s">
        <v>883</v>
      </c>
      <c r="K127" s="5" t="s">
        <v>301</v>
      </c>
      <c r="L127" s="5" t="s">
        <v>304</v>
      </c>
      <c r="M127" s="5" t="s">
        <v>843</v>
      </c>
      <c r="N127" s="5" t="s">
        <v>884</v>
      </c>
      <c r="O127" s="5" t="s">
        <v>307</v>
      </c>
      <c r="P127" s="5" t="s">
        <v>304</v>
      </c>
      <c r="Q127" s="5" t="s">
        <v>301</v>
      </c>
      <c r="R127" s="5"/>
      <c r="S127" s="5" t="s">
        <v>301</v>
      </c>
      <c r="T127" s="5" t="s">
        <v>885</v>
      </c>
      <c r="U127" s="5" t="s">
        <v>886</v>
      </c>
      <c r="V127" s="5" t="s">
        <v>304</v>
      </c>
      <c r="W127" s="5" t="s">
        <v>887</v>
      </c>
      <c r="X127" s="5" t="s">
        <v>301</v>
      </c>
      <c r="Y127" s="5" t="s">
        <v>304</v>
      </c>
      <c r="Z127" s="5" t="s">
        <v>304</v>
      </c>
      <c r="AA127" s="5" t="s">
        <v>304</v>
      </c>
      <c r="AB127" s="5" t="s">
        <v>888</v>
      </c>
      <c r="AC127" s="5" t="s">
        <v>371</v>
      </c>
      <c r="AD127" s="5" t="s">
        <v>301</v>
      </c>
      <c r="AE127" s="5">
        <v>0</v>
      </c>
      <c r="AF127" s="5" t="s">
        <v>411</v>
      </c>
      <c r="AG127" s="5" t="s">
        <v>411</v>
      </c>
      <c r="AH127" s="5" t="s">
        <v>411</v>
      </c>
      <c r="AI127" s="5"/>
    </row>
    <row r="128" spans="1:35" ht="27.75" customHeight="1">
      <c r="A128" s="5">
        <v>126</v>
      </c>
      <c r="B128" s="5" t="s">
        <v>297</v>
      </c>
      <c r="C128" s="5" t="s">
        <v>889</v>
      </c>
      <c r="D128" s="5" t="s">
        <v>488</v>
      </c>
      <c r="E128" s="5">
        <v>26</v>
      </c>
      <c r="F128" s="5" t="s">
        <v>300</v>
      </c>
      <c r="G128" s="5" t="s">
        <v>301</v>
      </c>
      <c r="H128" s="5" t="s">
        <v>890</v>
      </c>
      <c r="I128" s="5" t="s">
        <v>868</v>
      </c>
      <c r="J128" s="5" t="s">
        <v>891</v>
      </c>
      <c r="K128" s="5" t="s">
        <v>301</v>
      </c>
      <c r="L128" s="5" t="s">
        <v>304</v>
      </c>
      <c r="M128" s="5" t="s">
        <v>306</v>
      </c>
      <c r="N128" s="5" t="s">
        <v>892</v>
      </c>
      <c r="O128" s="5" t="s">
        <v>407</v>
      </c>
      <c r="P128" s="5" t="s">
        <v>304</v>
      </c>
      <c r="Q128" s="5" t="s">
        <v>301</v>
      </c>
      <c r="R128" s="5" t="s">
        <v>304</v>
      </c>
      <c r="S128" s="5" t="s">
        <v>301</v>
      </c>
      <c r="T128" s="5" t="s">
        <v>304</v>
      </c>
      <c r="U128" s="5" t="s">
        <v>304</v>
      </c>
      <c r="V128" s="5" t="s">
        <v>304</v>
      </c>
      <c r="W128" s="5" t="s">
        <v>787</v>
      </c>
      <c r="X128" s="5" t="s">
        <v>307</v>
      </c>
      <c r="Y128" s="5" t="s">
        <v>304</v>
      </c>
      <c r="Z128" s="5" t="s">
        <v>304</v>
      </c>
      <c r="AA128" s="5" t="s">
        <v>304</v>
      </c>
      <c r="AB128" s="5" t="s">
        <v>304</v>
      </c>
      <c r="AC128" s="5" t="s">
        <v>327</v>
      </c>
      <c r="AD128" s="5" t="s">
        <v>307</v>
      </c>
      <c r="AE128" s="5" t="s">
        <v>411</v>
      </c>
      <c r="AF128" s="5" t="s">
        <v>308</v>
      </c>
      <c r="AG128" s="5" t="s">
        <v>308</v>
      </c>
      <c r="AH128" s="5" t="s">
        <v>308</v>
      </c>
      <c r="AI128" s="5"/>
    </row>
    <row r="129" spans="1:35" ht="15" customHeight="1">
      <c r="A129" s="5">
        <v>127</v>
      </c>
      <c r="B129" s="5" t="s">
        <v>297</v>
      </c>
      <c r="C129" s="5" t="s">
        <v>893</v>
      </c>
      <c r="D129" s="5" t="s">
        <v>488</v>
      </c>
      <c r="E129" s="5">
        <v>24</v>
      </c>
      <c r="F129" s="5" t="s">
        <v>300</v>
      </c>
      <c r="G129" s="5" t="s">
        <v>301</v>
      </c>
      <c r="H129" s="5" t="s">
        <v>821</v>
      </c>
      <c r="I129" s="5" t="s">
        <v>894</v>
      </c>
      <c r="J129" s="5" t="s">
        <v>304</v>
      </c>
      <c r="K129" s="5" t="s">
        <v>301</v>
      </c>
      <c r="L129" s="5" t="s">
        <v>304</v>
      </c>
      <c r="M129" s="5" t="s">
        <v>306</v>
      </c>
      <c r="N129" s="5" t="s">
        <v>895</v>
      </c>
      <c r="O129" s="5" t="s">
        <v>307</v>
      </c>
      <c r="P129" s="5" t="s">
        <v>304</v>
      </c>
      <c r="Q129" s="5" t="s">
        <v>301</v>
      </c>
      <c r="R129" s="5" t="s">
        <v>304</v>
      </c>
      <c r="S129" s="5" t="s">
        <v>307</v>
      </c>
      <c r="T129" s="5" t="s">
        <v>304</v>
      </c>
      <c r="U129" s="5" t="s">
        <v>304</v>
      </c>
      <c r="V129" s="5" t="s">
        <v>304</v>
      </c>
      <c r="W129" s="5" t="s">
        <v>304</v>
      </c>
      <c r="X129" s="5" t="s">
        <v>307</v>
      </c>
      <c r="Y129" s="5" t="s">
        <v>304</v>
      </c>
      <c r="Z129" s="5" t="s">
        <v>304</v>
      </c>
      <c r="AA129" s="5" t="s">
        <v>304</v>
      </c>
      <c r="AB129" s="5" t="s">
        <v>304</v>
      </c>
      <c r="AC129" s="5" t="s">
        <v>317</v>
      </c>
      <c r="AD129" s="5" t="s">
        <v>307</v>
      </c>
      <c r="AE129" s="5">
        <v>0</v>
      </c>
      <c r="AF129" s="5" t="s">
        <v>308</v>
      </c>
      <c r="AG129" s="5" t="s">
        <v>308</v>
      </c>
      <c r="AH129" s="5" t="s">
        <v>308</v>
      </c>
      <c r="AI129" s="5"/>
    </row>
    <row r="130" spans="1:35" ht="27.75" customHeight="1">
      <c r="A130" s="5">
        <v>128</v>
      </c>
      <c r="B130" s="5" t="s">
        <v>297</v>
      </c>
      <c r="C130" s="5" t="s">
        <v>861</v>
      </c>
      <c r="D130" s="5" t="s">
        <v>488</v>
      </c>
      <c r="E130" s="5">
        <v>50</v>
      </c>
      <c r="F130" s="5" t="s">
        <v>300</v>
      </c>
      <c r="G130" s="5" t="s">
        <v>301</v>
      </c>
      <c r="H130" s="5" t="s">
        <v>328</v>
      </c>
      <c r="I130" s="5" t="s">
        <v>302</v>
      </c>
      <c r="J130" s="5" t="s">
        <v>304</v>
      </c>
      <c r="K130" s="5" t="s">
        <v>565</v>
      </c>
      <c r="L130" s="5" t="s">
        <v>304</v>
      </c>
      <c r="M130" s="5" t="s">
        <v>843</v>
      </c>
      <c r="N130" s="5" t="s">
        <v>896</v>
      </c>
      <c r="O130" s="5" t="s">
        <v>307</v>
      </c>
      <c r="P130" s="5" t="s">
        <v>304</v>
      </c>
      <c r="Q130" s="5" t="s">
        <v>301</v>
      </c>
      <c r="R130" s="5" t="s">
        <v>818</v>
      </c>
      <c r="S130" s="5" t="s">
        <v>307</v>
      </c>
      <c r="T130" s="5" t="s">
        <v>304</v>
      </c>
      <c r="U130" s="5" t="s">
        <v>304</v>
      </c>
      <c r="V130" s="5" t="s">
        <v>304</v>
      </c>
      <c r="W130" s="5" t="s">
        <v>304</v>
      </c>
      <c r="X130" s="5" t="s">
        <v>301</v>
      </c>
      <c r="Y130" s="5" t="s">
        <v>304</v>
      </c>
      <c r="Z130" s="5" t="s">
        <v>304</v>
      </c>
      <c r="AA130" s="5" t="s">
        <v>304</v>
      </c>
      <c r="AB130" s="5" t="s">
        <v>897</v>
      </c>
      <c r="AC130" s="5" t="s">
        <v>371</v>
      </c>
      <c r="AD130" s="5" t="s">
        <v>301</v>
      </c>
      <c r="AE130" s="5" t="s">
        <v>898</v>
      </c>
      <c r="AF130" s="5" t="s">
        <v>308</v>
      </c>
      <c r="AG130" s="5" t="s">
        <v>308</v>
      </c>
      <c r="AH130" s="5" t="s">
        <v>308</v>
      </c>
      <c r="AI130" s="5"/>
    </row>
    <row r="131" spans="1:35" ht="41.25" customHeight="1">
      <c r="A131" s="5">
        <v>129</v>
      </c>
      <c r="B131" s="5" t="s">
        <v>297</v>
      </c>
      <c r="C131" s="5" t="s">
        <v>882</v>
      </c>
      <c r="D131" s="5" t="s">
        <v>337</v>
      </c>
      <c r="E131" s="5">
        <v>45</v>
      </c>
      <c r="F131" s="5" t="s">
        <v>300</v>
      </c>
      <c r="G131" s="5" t="s">
        <v>301</v>
      </c>
      <c r="H131" s="5" t="s">
        <v>328</v>
      </c>
      <c r="I131" s="5" t="s">
        <v>311</v>
      </c>
      <c r="J131" s="5" t="s">
        <v>310</v>
      </c>
      <c r="K131" s="5" t="s">
        <v>308</v>
      </c>
      <c r="L131" s="5" t="s">
        <v>304</v>
      </c>
      <c r="M131" s="5" t="s">
        <v>843</v>
      </c>
      <c r="N131" s="5" t="s">
        <v>899</v>
      </c>
      <c r="O131" s="5" t="s">
        <v>307</v>
      </c>
      <c r="P131" s="5" t="s">
        <v>304</v>
      </c>
      <c r="Q131" s="5" t="s">
        <v>301</v>
      </c>
      <c r="R131" s="5" t="s">
        <v>304</v>
      </c>
      <c r="S131" s="5" t="s">
        <v>307</v>
      </c>
      <c r="T131" s="5" t="s">
        <v>304</v>
      </c>
      <c r="U131" s="5" t="s">
        <v>304</v>
      </c>
      <c r="V131" s="5" t="s">
        <v>304</v>
      </c>
      <c r="W131" s="5" t="s">
        <v>304</v>
      </c>
      <c r="X131" s="5" t="s">
        <v>301</v>
      </c>
      <c r="Y131" s="5" t="s">
        <v>304</v>
      </c>
      <c r="Z131" s="5" t="s">
        <v>304</v>
      </c>
      <c r="AA131" s="5" t="s">
        <v>304</v>
      </c>
      <c r="AB131" s="5" t="s">
        <v>900</v>
      </c>
      <c r="AC131" s="5" t="s">
        <v>819</v>
      </c>
      <c r="AD131" s="5" t="s">
        <v>301</v>
      </c>
      <c r="AE131" s="5">
        <v>0</v>
      </c>
      <c r="AF131" s="5" t="s">
        <v>308</v>
      </c>
      <c r="AG131" s="5" t="s">
        <v>308</v>
      </c>
      <c r="AH131" s="5" t="s">
        <v>308</v>
      </c>
      <c r="AI131" s="5"/>
    </row>
    <row r="132" spans="1:35" ht="15" customHeight="1">
      <c r="A132" s="5">
        <v>130</v>
      </c>
      <c r="B132" s="5" t="s">
        <v>297</v>
      </c>
      <c r="C132" s="5" t="s">
        <v>901</v>
      </c>
      <c r="D132" s="5" t="s">
        <v>337</v>
      </c>
      <c r="E132" s="5">
        <v>30</v>
      </c>
      <c r="F132" s="5" t="s">
        <v>300</v>
      </c>
      <c r="G132" s="5" t="s">
        <v>301</v>
      </c>
      <c r="H132" s="5" t="s">
        <v>902</v>
      </c>
      <c r="I132" s="5" t="s">
        <v>903</v>
      </c>
      <c r="J132" s="5" t="s">
        <v>304</v>
      </c>
      <c r="K132" s="5" t="s">
        <v>301</v>
      </c>
      <c r="L132" s="5" t="s">
        <v>304</v>
      </c>
      <c r="M132" s="5" t="s">
        <v>306</v>
      </c>
      <c r="N132" s="5" t="s">
        <v>304</v>
      </c>
      <c r="O132" s="5" t="s">
        <v>307</v>
      </c>
      <c r="P132" s="5" t="s">
        <v>304</v>
      </c>
      <c r="Q132" s="5" t="s">
        <v>307</v>
      </c>
      <c r="R132" s="5" t="s">
        <v>304</v>
      </c>
      <c r="S132" s="5" t="s">
        <v>307</v>
      </c>
      <c r="T132" s="5" t="s">
        <v>304</v>
      </c>
      <c r="U132" s="5" t="s">
        <v>304</v>
      </c>
      <c r="V132" s="5" t="s">
        <v>304</v>
      </c>
      <c r="W132" s="5" t="s">
        <v>304</v>
      </c>
      <c r="X132" s="5" t="s">
        <v>307</v>
      </c>
      <c r="Y132" s="5" t="s">
        <v>304</v>
      </c>
      <c r="Z132" s="5" t="s">
        <v>304</v>
      </c>
      <c r="AA132" s="5" t="s">
        <v>304</v>
      </c>
      <c r="AB132" s="5" t="s">
        <v>904</v>
      </c>
      <c r="AC132" s="5" t="s">
        <v>327</v>
      </c>
      <c r="AD132" s="5" t="s">
        <v>301</v>
      </c>
      <c r="AE132" s="5">
        <v>0.1</v>
      </c>
      <c r="AF132" s="5" t="s">
        <v>411</v>
      </c>
      <c r="AG132" s="5" t="s">
        <v>411</v>
      </c>
      <c r="AH132" s="5" t="s">
        <v>905</v>
      </c>
      <c r="AI132" s="5"/>
    </row>
    <row r="133" spans="1:35" ht="27.75" customHeight="1">
      <c r="A133" s="5">
        <v>131</v>
      </c>
      <c r="B133" s="5" t="s">
        <v>297</v>
      </c>
      <c r="C133" s="5" t="s">
        <v>901</v>
      </c>
      <c r="D133" s="5" t="s">
        <v>337</v>
      </c>
      <c r="E133" s="5">
        <v>40</v>
      </c>
      <c r="F133" s="5" t="s">
        <v>300</v>
      </c>
      <c r="G133" s="5" t="s">
        <v>301</v>
      </c>
      <c r="H133" s="5" t="s">
        <v>906</v>
      </c>
      <c r="I133" s="5" t="s">
        <v>907</v>
      </c>
      <c r="J133" s="5" t="s">
        <v>908</v>
      </c>
      <c r="K133" s="5" t="s">
        <v>301</v>
      </c>
      <c r="L133" s="5" t="s">
        <v>304</v>
      </c>
      <c r="M133" s="5" t="s">
        <v>383</v>
      </c>
      <c r="N133" s="5" t="s">
        <v>909</v>
      </c>
      <c r="O133" s="5" t="s">
        <v>307</v>
      </c>
      <c r="P133" s="5" t="s">
        <v>818</v>
      </c>
      <c r="Q133" s="5" t="s">
        <v>301</v>
      </c>
      <c r="R133" s="5" t="s">
        <v>910</v>
      </c>
      <c r="S133" s="5" t="s">
        <v>307</v>
      </c>
      <c r="T133" s="5" t="s">
        <v>304</v>
      </c>
      <c r="U133" s="5" t="s">
        <v>304</v>
      </c>
      <c r="V133" s="5" t="s">
        <v>304</v>
      </c>
      <c r="W133" s="5" t="s">
        <v>304</v>
      </c>
      <c r="X133" s="5" t="s">
        <v>307</v>
      </c>
      <c r="Y133" s="5" t="s">
        <v>304</v>
      </c>
      <c r="Z133" s="5" t="s">
        <v>304</v>
      </c>
      <c r="AA133" s="5" t="s">
        <v>304</v>
      </c>
      <c r="AB133" s="5" t="s">
        <v>304</v>
      </c>
      <c r="AC133" s="5" t="s">
        <v>327</v>
      </c>
      <c r="AD133" s="5" t="s">
        <v>301</v>
      </c>
      <c r="AE133" s="5">
        <v>0</v>
      </c>
      <c r="AF133" s="5" t="s">
        <v>411</v>
      </c>
      <c r="AG133" s="5" t="s">
        <v>411</v>
      </c>
      <c r="AH133" s="5" t="s">
        <v>911</v>
      </c>
      <c r="AI133" s="5"/>
    </row>
    <row r="134" spans="1:35" ht="27.75" customHeight="1">
      <c r="A134" s="5">
        <v>132</v>
      </c>
      <c r="B134" s="5" t="s">
        <v>297</v>
      </c>
      <c r="C134" s="5" t="s">
        <v>861</v>
      </c>
      <c r="D134" s="5" t="s">
        <v>488</v>
      </c>
      <c r="E134" s="5">
        <v>28</v>
      </c>
      <c r="F134" s="5" t="s">
        <v>300</v>
      </c>
      <c r="G134" s="5" t="s">
        <v>301</v>
      </c>
      <c r="H134" s="5" t="s">
        <v>310</v>
      </c>
      <c r="I134" s="5" t="s">
        <v>303</v>
      </c>
      <c r="J134" s="5" t="s">
        <v>304</v>
      </c>
      <c r="K134" s="5" t="s">
        <v>308</v>
      </c>
      <c r="L134" s="5" t="s">
        <v>304</v>
      </c>
      <c r="M134" s="5" t="s">
        <v>306</v>
      </c>
      <c r="N134" s="5" t="s">
        <v>912</v>
      </c>
      <c r="O134" s="5" t="s">
        <v>307</v>
      </c>
      <c r="P134" s="5" t="s">
        <v>304</v>
      </c>
      <c r="Q134" s="5" t="s">
        <v>308</v>
      </c>
      <c r="R134" s="5" t="s">
        <v>304</v>
      </c>
      <c r="S134" s="5" t="s">
        <v>407</v>
      </c>
      <c r="T134" s="5" t="s">
        <v>304</v>
      </c>
      <c r="U134" s="5" t="s">
        <v>304</v>
      </c>
      <c r="V134" s="5" t="s">
        <v>304</v>
      </c>
      <c r="W134" s="5" t="s">
        <v>304</v>
      </c>
      <c r="X134" s="5" t="s">
        <v>307</v>
      </c>
      <c r="Y134" s="5" t="s">
        <v>304</v>
      </c>
      <c r="Z134" s="5" t="s">
        <v>304</v>
      </c>
      <c r="AA134" s="5" t="s">
        <v>304</v>
      </c>
      <c r="AB134" s="5" t="s">
        <v>304</v>
      </c>
      <c r="AC134" s="5" t="s">
        <v>327</v>
      </c>
      <c r="AD134" s="5" t="s">
        <v>301</v>
      </c>
      <c r="AE134" s="5">
        <v>0</v>
      </c>
      <c r="AF134" s="5" t="s">
        <v>308</v>
      </c>
      <c r="AG134" s="5" t="s">
        <v>308</v>
      </c>
      <c r="AH134" s="5" t="s">
        <v>308</v>
      </c>
      <c r="AI134" s="5"/>
    </row>
    <row r="135" spans="1:35" ht="27.75" customHeight="1">
      <c r="A135" s="5">
        <v>133</v>
      </c>
      <c r="B135" s="5" t="s">
        <v>297</v>
      </c>
      <c r="C135" s="5" t="s">
        <v>913</v>
      </c>
      <c r="D135" s="5" t="s">
        <v>337</v>
      </c>
      <c r="E135" s="5">
        <v>40</v>
      </c>
      <c r="F135" s="5" t="s">
        <v>300</v>
      </c>
      <c r="G135" s="5" t="s">
        <v>301</v>
      </c>
      <c r="H135" s="5" t="s">
        <v>914</v>
      </c>
      <c r="I135" s="5" t="s">
        <v>818</v>
      </c>
      <c r="J135" s="5" t="s">
        <v>304</v>
      </c>
      <c r="K135" s="5" t="s">
        <v>301</v>
      </c>
      <c r="L135" s="5" t="s">
        <v>304</v>
      </c>
      <c r="M135" s="5" t="s">
        <v>313</v>
      </c>
      <c r="N135" s="5" t="s">
        <v>304</v>
      </c>
      <c r="O135" s="5" t="s">
        <v>307</v>
      </c>
      <c r="P135" s="5" t="s">
        <v>304</v>
      </c>
      <c r="Q135" s="5" t="s">
        <v>301</v>
      </c>
      <c r="R135" s="5" t="s">
        <v>915</v>
      </c>
      <c r="S135" s="5" t="s">
        <v>301</v>
      </c>
      <c r="T135" s="5" t="s">
        <v>304</v>
      </c>
      <c r="U135" s="5" t="s">
        <v>304</v>
      </c>
      <c r="V135" s="5" t="s">
        <v>304</v>
      </c>
      <c r="W135" s="5" t="s">
        <v>304</v>
      </c>
      <c r="X135" s="5" t="s">
        <v>301</v>
      </c>
      <c r="Y135" s="5" t="s">
        <v>304</v>
      </c>
      <c r="Z135" s="5" t="s">
        <v>304</v>
      </c>
      <c r="AA135" s="5" t="s">
        <v>304</v>
      </c>
      <c r="AB135" s="5" t="s">
        <v>916</v>
      </c>
      <c r="AC135" s="5" t="s">
        <v>371</v>
      </c>
      <c r="AD135" s="5" t="s">
        <v>308</v>
      </c>
      <c r="AE135" s="5" t="s">
        <v>308</v>
      </c>
      <c r="AF135" s="5" t="s">
        <v>308</v>
      </c>
      <c r="AG135" s="5" t="s">
        <v>308</v>
      </c>
      <c r="AH135" s="5" t="s">
        <v>308</v>
      </c>
      <c r="AI135" s="5"/>
    </row>
    <row r="136" spans="1:35" ht="41.25" customHeight="1">
      <c r="A136" s="5">
        <v>134</v>
      </c>
      <c r="B136" s="5" t="s">
        <v>297</v>
      </c>
      <c r="C136" s="5" t="s">
        <v>403</v>
      </c>
      <c r="D136" s="5" t="s">
        <v>299</v>
      </c>
      <c r="E136" s="5">
        <v>23</v>
      </c>
      <c r="F136" s="5" t="s">
        <v>300</v>
      </c>
      <c r="G136" s="5" t="s">
        <v>301</v>
      </c>
      <c r="H136" s="5" t="s">
        <v>917</v>
      </c>
      <c r="I136" s="5" t="s">
        <v>918</v>
      </c>
      <c r="J136" s="5" t="s">
        <v>919</v>
      </c>
      <c r="K136" s="5" t="s">
        <v>301</v>
      </c>
      <c r="L136" s="5" t="s">
        <v>304</v>
      </c>
      <c r="M136" s="5" t="s">
        <v>306</v>
      </c>
      <c r="N136" s="5" t="s">
        <v>920</v>
      </c>
      <c r="O136" s="5" t="s">
        <v>307</v>
      </c>
      <c r="P136" s="5" t="s">
        <v>304</v>
      </c>
      <c r="Q136" s="5" t="s">
        <v>301</v>
      </c>
      <c r="R136" s="5" t="s">
        <v>818</v>
      </c>
      <c r="S136" s="5" t="s">
        <v>301</v>
      </c>
      <c r="T136" s="5" t="s">
        <v>921</v>
      </c>
      <c r="U136" s="5" t="s">
        <v>304</v>
      </c>
      <c r="V136" s="5" t="s">
        <v>304</v>
      </c>
      <c r="W136" s="5" t="s">
        <v>304</v>
      </c>
      <c r="X136" s="5" t="s">
        <v>307</v>
      </c>
      <c r="Y136" s="5" t="s">
        <v>304</v>
      </c>
      <c r="Z136" s="5" t="s">
        <v>304</v>
      </c>
      <c r="AA136" s="5" t="s">
        <v>304</v>
      </c>
      <c r="AB136" s="5" t="s">
        <v>304</v>
      </c>
      <c r="AC136" s="5" t="s">
        <v>327</v>
      </c>
      <c r="AD136" s="5" t="s">
        <v>301</v>
      </c>
      <c r="AE136" s="5" t="s">
        <v>922</v>
      </c>
      <c r="AF136" s="5" t="s">
        <v>308</v>
      </c>
      <c r="AG136" s="5" t="s">
        <v>308</v>
      </c>
      <c r="AH136" s="5" t="s">
        <v>308</v>
      </c>
      <c r="AI136" s="5"/>
    </row>
    <row r="137" spans="1:35" ht="27.75" customHeight="1">
      <c r="A137" s="5">
        <v>135</v>
      </c>
      <c r="B137" s="5" t="s">
        <v>297</v>
      </c>
      <c r="C137" s="5" t="s">
        <v>923</v>
      </c>
      <c r="D137" s="5" t="s">
        <v>337</v>
      </c>
      <c r="E137" s="5">
        <v>55</v>
      </c>
      <c r="F137" s="5" t="s">
        <v>300</v>
      </c>
      <c r="G137" s="5" t="s">
        <v>301</v>
      </c>
      <c r="H137" s="5" t="s">
        <v>328</v>
      </c>
      <c r="I137" s="5" t="s">
        <v>924</v>
      </c>
      <c r="J137" s="5" t="s">
        <v>304</v>
      </c>
      <c r="K137" s="5" t="s">
        <v>301</v>
      </c>
      <c r="L137" s="5" t="s">
        <v>304</v>
      </c>
      <c r="M137" s="5" t="s">
        <v>313</v>
      </c>
      <c r="N137" s="5" t="s">
        <v>925</v>
      </c>
      <c r="O137" s="5" t="s">
        <v>307</v>
      </c>
      <c r="P137" s="5" t="s">
        <v>304</v>
      </c>
      <c r="Q137" s="5" t="s">
        <v>301</v>
      </c>
      <c r="R137" s="5" t="s">
        <v>818</v>
      </c>
      <c r="S137" s="5" t="s">
        <v>301</v>
      </c>
      <c r="T137" s="5" t="s">
        <v>304</v>
      </c>
      <c r="U137" s="5" t="s">
        <v>304</v>
      </c>
      <c r="V137" s="5" t="s">
        <v>304</v>
      </c>
      <c r="W137" s="5" t="s">
        <v>304</v>
      </c>
      <c r="X137" s="5" t="s">
        <v>307</v>
      </c>
      <c r="Y137" s="5" t="s">
        <v>304</v>
      </c>
      <c r="Z137" s="5" t="s">
        <v>304</v>
      </c>
      <c r="AA137" s="5" t="s">
        <v>304</v>
      </c>
      <c r="AB137" s="5" t="s">
        <v>304</v>
      </c>
      <c r="AC137" s="5" t="s">
        <v>327</v>
      </c>
      <c r="AD137" s="5" t="s">
        <v>307</v>
      </c>
      <c r="AE137" s="5">
        <v>0</v>
      </c>
      <c r="AF137" s="5" t="s">
        <v>308</v>
      </c>
      <c r="AG137" s="5" t="s">
        <v>308</v>
      </c>
      <c r="AH137" s="5" t="s">
        <v>308</v>
      </c>
      <c r="AI137" s="5"/>
    </row>
    <row r="138" spans="1:35" ht="15" customHeight="1">
      <c r="A138" s="5">
        <v>136</v>
      </c>
      <c r="B138" s="5" t="s">
        <v>297</v>
      </c>
      <c r="C138" s="5" t="s">
        <v>861</v>
      </c>
      <c r="D138" s="5" t="s">
        <v>488</v>
      </c>
      <c r="E138" s="5">
        <v>45</v>
      </c>
      <c r="F138" s="5" t="s">
        <v>300</v>
      </c>
      <c r="G138" s="5" t="s">
        <v>301</v>
      </c>
      <c r="H138" s="5" t="s">
        <v>328</v>
      </c>
      <c r="I138" s="5" t="s">
        <v>304</v>
      </c>
      <c r="J138" s="5" t="s">
        <v>304</v>
      </c>
      <c r="K138" s="5" t="s">
        <v>308</v>
      </c>
      <c r="L138" s="5" t="s">
        <v>304</v>
      </c>
      <c r="M138" s="5" t="s">
        <v>306</v>
      </c>
      <c r="N138" s="5" t="s">
        <v>926</v>
      </c>
      <c r="O138" s="5" t="s">
        <v>307</v>
      </c>
      <c r="P138" s="5" t="s">
        <v>304</v>
      </c>
      <c r="Q138" s="5" t="s">
        <v>301</v>
      </c>
      <c r="R138" s="5" t="s">
        <v>304</v>
      </c>
      <c r="S138" s="5" t="s">
        <v>307</v>
      </c>
      <c r="T138" s="5" t="s">
        <v>304</v>
      </c>
      <c r="U138" s="5" t="s">
        <v>304</v>
      </c>
      <c r="V138" s="5" t="s">
        <v>304</v>
      </c>
      <c r="W138" s="5" t="s">
        <v>304</v>
      </c>
      <c r="X138" s="5" t="s">
        <v>307</v>
      </c>
      <c r="Y138" s="5" t="s">
        <v>304</v>
      </c>
      <c r="Z138" s="5" t="s">
        <v>304</v>
      </c>
      <c r="AA138" s="5" t="s">
        <v>304</v>
      </c>
      <c r="AB138" s="5" t="s">
        <v>304</v>
      </c>
      <c r="AC138" s="5" t="s">
        <v>327</v>
      </c>
      <c r="AD138" s="5" t="s">
        <v>301</v>
      </c>
      <c r="AE138" s="5">
        <v>0</v>
      </c>
      <c r="AF138" s="5" t="s">
        <v>308</v>
      </c>
      <c r="AG138" s="5" t="s">
        <v>308</v>
      </c>
      <c r="AH138" s="5" t="s">
        <v>308</v>
      </c>
      <c r="AI138" s="5"/>
    </row>
    <row r="139" spans="1:35" ht="15" customHeight="1">
      <c r="A139" s="5">
        <v>137</v>
      </c>
      <c r="B139" s="5" t="s">
        <v>297</v>
      </c>
      <c r="C139" s="5" t="s">
        <v>861</v>
      </c>
      <c r="D139" s="5" t="s">
        <v>488</v>
      </c>
      <c r="E139" s="5">
        <v>35</v>
      </c>
      <c r="F139" s="5" t="s">
        <v>300</v>
      </c>
      <c r="G139" s="5" t="s">
        <v>301</v>
      </c>
      <c r="H139" s="5" t="s">
        <v>927</v>
      </c>
      <c r="I139" s="5" t="s">
        <v>304</v>
      </c>
      <c r="J139" s="5" t="s">
        <v>304</v>
      </c>
      <c r="K139" s="5" t="s">
        <v>301</v>
      </c>
      <c r="L139" s="5" t="s">
        <v>304</v>
      </c>
      <c r="M139" s="5" t="s">
        <v>306</v>
      </c>
      <c r="N139" s="5" t="s">
        <v>928</v>
      </c>
      <c r="O139" s="5" t="s">
        <v>301</v>
      </c>
      <c r="P139" s="5" t="s">
        <v>304</v>
      </c>
      <c r="Q139" s="5" t="s">
        <v>308</v>
      </c>
      <c r="R139" s="5" t="s">
        <v>304</v>
      </c>
      <c r="S139" s="5" t="s">
        <v>307</v>
      </c>
      <c r="T139" s="5" t="s">
        <v>304</v>
      </c>
      <c r="U139" s="5" t="s">
        <v>304</v>
      </c>
      <c r="V139" s="5" t="s">
        <v>304</v>
      </c>
      <c r="W139" s="5" t="s">
        <v>304</v>
      </c>
      <c r="X139" s="5" t="s">
        <v>307</v>
      </c>
      <c r="Y139" s="5" t="s">
        <v>304</v>
      </c>
      <c r="Z139" s="5" t="s">
        <v>304</v>
      </c>
      <c r="AA139" s="5" t="s">
        <v>304</v>
      </c>
      <c r="AB139" s="5" t="s">
        <v>929</v>
      </c>
      <c r="AC139" s="5" t="s">
        <v>327</v>
      </c>
      <c r="AD139" s="5" t="s">
        <v>307</v>
      </c>
      <c r="AE139" s="5" t="s">
        <v>930</v>
      </c>
      <c r="AF139" s="5" t="s">
        <v>301</v>
      </c>
      <c r="AG139" s="5" t="s">
        <v>307</v>
      </c>
      <c r="AH139" s="5" t="s">
        <v>308</v>
      </c>
      <c r="AI139" s="5"/>
    </row>
    <row r="140" spans="1:35" ht="15" customHeight="1">
      <c r="A140" s="5">
        <v>138</v>
      </c>
      <c r="B140" s="5" t="s">
        <v>297</v>
      </c>
      <c r="C140" s="5" t="s">
        <v>931</v>
      </c>
      <c r="D140" s="5" t="s">
        <v>488</v>
      </c>
      <c r="E140" s="5">
        <v>37</v>
      </c>
      <c r="F140" s="5" t="s">
        <v>300</v>
      </c>
      <c r="G140" s="5" t="s">
        <v>301</v>
      </c>
      <c r="H140" s="5" t="s">
        <v>328</v>
      </c>
      <c r="I140" s="5" t="s">
        <v>302</v>
      </c>
      <c r="J140" s="5" t="s">
        <v>304</v>
      </c>
      <c r="K140" s="5" t="s">
        <v>301</v>
      </c>
      <c r="L140" s="5" t="s">
        <v>304</v>
      </c>
      <c r="M140" s="5" t="s">
        <v>306</v>
      </c>
      <c r="N140" s="5" t="s">
        <v>304</v>
      </c>
      <c r="O140" s="5" t="s">
        <v>301</v>
      </c>
      <c r="P140" s="5" t="s">
        <v>304</v>
      </c>
      <c r="Q140" s="5" t="s">
        <v>308</v>
      </c>
      <c r="R140" s="5" t="s">
        <v>304</v>
      </c>
      <c r="S140" s="5" t="s">
        <v>307</v>
      </c>
      <c r="T140" s="5" t="s">
        <v>304</v>
      </c>
      <c r="U140" s="5" t="s">
        <v>304</v>
      </c>
      <c r="V140" s="5" t="s">
        <v>304</v>
      </c>
      <c r="W140" s="5" t="s">
        <v>304</v>
      </c>
      <c r="X140" s="5" t="s">
        <v>307</v>
      </c>
      <c r="Y140" s="5" t="s">
        <v>304</v>
      </c>
      <c r="Z140" s="5" t="s">
        <v>304</v>
      </c>
      <c r="AA140" s="5" t="s">
        <v>304</v>
      </c>
      <c r="AB140" s="5" t="s">
        <v>304</v>
      </c>
      <c r="AC140" s="5" t="s">
        <v>327</v>
      </c>
      <c r="AD140" s="5" t="s">
        <v>307</v>
      </c>
      <c r="AE140" s="5" t="s">
        <v>308</v>
      </c>
      <c r="AF140" s="5" t="s">
        <v>308</v>
      </c>
      <c r="AG140" s="5" t="s">
        <v>308</v>
      </c>
      <c r="AH140" s="5" t="s">
        <v>308</v>
      </c>
      <c r="AI140" s="5"/>
    </row>
    <row r="141" spans="1:35" ht="15" customHeight="1">
      <c r="A141" s="5">
        <v>139</v>
      </c>
      <c r="B141" s="5" t="s">
        <v>297</v>
      </c>
      <c r="C141" s="5" t="s">
        <v>932</v>
      </c>
      <c r="D141" s="5" t="s">
        <v>337</v>
      </c>
      <c r="E141" s="5">
        <v>28</v>
      </c>
      <c r="F141" s="5" t="s">
        <v>300</v>
      </c>
      <c r="G141" s="5" t="s">
        <v>301</v>
      </c>
      <c r="H141" s="5" t="s">
        <v>933</v>
      </c>
      <c r="I141" s="5" t="s">
        <v>821</v>
      </c>
      <c r="J141" s="5" t="s">
        <v>879</v>
      </c>
      <c r="K141" s="5" t="s">
        <v>301</v>
      </c>
      <c r="L141" s="5" t="s">
        <v>304</v>
      </c>
      <c r="M141" s="5" t="s">
        <v>313</v>
      </c>
      <c r="N141" s="5" t="s">
        <v>304</v>
      </c>
      <c r="O141" s="5" t="s">
        <v>307</v>
      </c>
      <c r="P141" s="5" t="s">
        <v>304</v>
      </c>
      <c r="Q141" s="5" t="s">
        <v>307</v>
      </c>
      <c r="R141" s="5" t="s">
        <v>304</v>
      </c>
      <c r="S141" s="5" t="s">
        <v>301</v>
      </c>
      <c r="T141" s="5" t="s">
        <v>304</v>
      </c>
      <c r="U141" s="5" t="s">
        <v>304</v>
      </c>
      <c r="V141" s="5" t="s">
        <v>304</v>
      </c>
      <c r="W141" s="5" t="s">
        <v>304</v>
      </c>
      <c r="X141" s="5" t="s">
        <v>307</v>
      </c>
      <c r="Y141" s="5" t="s">
        <v>304</v>
      </c>
      <c r="Z141" s="5" t="s">
        <v>304</v>
      </c>
      <c r="AA141" s="5" t="s">
        <v>304</v>
      </c>
      <c r="AB141" s="5" t="s">
        <v>304</v>
      </c>
      <c r="AC141" s="5" t="s">
        <v>327</v>
      </c>
      <c r="AD141" s="5" t="s">
        <v>307</v>
      </c>
      <c r="AE141" s="5">
        <v>0</v>
      </c>
      <c r="AF141" s="5" t="s">
        <v>308</v>
      </c>
      <c r="AG141" s="5" t="s">
        <v>308</v>
      </c>
      <c r="AH141" s="5" t="s">
        <v>308</v>
      </c>
      <c r="AI141" s="5"/>
    </row>
    <row r="142" spans="1:35" ht="15" customHeight="1">
      <c r="A142" s="5">
        <v>140</v>
      </c>
      <c r="B142" s="5" t="s">
        <v>297</v>
      </c>
      <c r="C142" s="5" t="s">
        <v>805</v>
      </c>
      <c r="D142" s="5" t="s">
        <v>337</v>
      </c>
      <c r="E142" s="5">
        <v>22</v>
      </c>
      <c r="F142" s="5" t="s">
        <v>300</v>
      </c>
      <c r="G142" s="5" t="s">
        <v>301</v>
      </c>
      <c r="H142" s="5" t="s">
        <v>934</v>
      </c>
      <c r="I142" s="5" t="s">
        <v>935</v>
      </c>
      <c r="J142" s="5" t="s">
        <v>936</v>
      </c>
      <c r="K142" s="5" t="s">
        <v>301</v>
      </c>
      <c r="L142" s="5" t="s">
        <v>304</v>
      </c>
      <c r="M142" s="5" t="s">
        <v>313</v>
      </c>
      <c r="N142" s="5" t="s">
        <v>304</v>
      </c>
      <c r="O142" s="5" t="s">
        <v>307</v>
      </c>
      <c r="P142" s="5" t="s">
        <v>304</v>
      </c>
      <c r="Q142" s="5" t="s">
        <v>307</v>
      </c>
      <c r="R142" s="5" t="s">
        <v>304</v>
      </c>
      <c r="S142" s="5" t="s">
        <v>301</v>
      </c>
      <c r="T142" s="5" t="s">
        <v>304</v>
      </c>
      <c r="U142" s="5" t="s">
        <v>304</v>
      </c>
      <c r="V142" s="5" t="s">
        <v>304</v>
      </c>
      <c r="W142" s="5" t="s">
        <v>304</v>
      </c>
      <c r="X142" s="5" t="s">
        <v>301</v>
      </c>
      <c r="Y142" s="5" t="s">
        <v>304</v>
      </c>
      <c r="Z142" s="5" t="s">
        <v>304</v>
      </c>
      <c r="AA142" s="5" t="s">
        <v>304</v>
      </c>
      <c r="AB142" s="5"/>
      <c r="AC142" s="5" t="s">
        <v>327</v>
      </c>
      <c r="AD142" s="5" t="s">
        <v>307</v>
      </c>
      <c r="AE142" s="5">
        <v>0</v>
      </c>
      <c r="AF142" s="5" t="s">
        <v>308</v>
      </c>
      <c r="AG142" s="5" t="s">
        <v>308</v>
      </c>
      <c r="AH142" s="5" t="s">
        <v>308</v>
      </c>
      <c r="AI142" s="5"/>
    </row>
    <row r="143" spans="1:35" ht="27.75" customHeight="1">
      <c r="A143" s="5">
        <v>141</v>
      </c>
      <c r="B143" s="5" t="s">
        <v>297</v>
      </c>
      <c r="C143" s="5" t="s">
        <v>931</v>
      </c>
      <c r="D143" s="5" t="s">
        <v>488</v>
      </c>
      <c r="E143" s="5">
        <v>22</v>
      </c>
      <c r="F143" s="5" t="s">
        <v>300</v>
      </c>
      <c r="G143" s="5" t="s">
        <v>301</v>
      </c>
      <c r="H143" s="5" t="s">
        <v>310</v>
      </c>
      <c r="I143" s="5" t="s">
        <v>328</v>
      </c>
      <c r="J143" s="5" t="s">
        <v>937</v>
      </c>
      <c r="K143" s="5" t="s">
        <v>301</v>
      </c>
      <c r="L143" s="5" t="s">
        <v>304</v>
      </c>
      <c r="M143" s="5" t="s">
        <v>306</v>
      </c>
      <c r="N143" s="5" t="s">
        <v>304</v>
      </c>
      <c r="O143" s="5" t="s">
        <v>307</v>
      </c>
      <c r="P143" s="5" t="s">
        <v>304</v>
      </c>
      <c r="Q143" s="5" t="s">
        <v>301</v>
      </c>
      <c r="R143" s="5" t="s">
        <v>304</v>
      </c>
      <c r="S143" s="5" t="s">
        <v>301</v>
      </c>
      <c r="T143" s="5" t="s">
        <v>304</v>
      </c>
      <c r="U143" s="5" t="s">
        <v>304</v>
      </c>
      <c r="V143" s="5" t="s">
        <v>304</v>
      </c>
      <c r="W143" s="5" t="s">
        <v>938</v>
      </c>
      <c r="X143" s="5" t="s">
        <v>307</v>
      </c>
      <c r="Y143" s="5" t="s">
        <v>304</v>
      </c>
      <c r="Z143" s="5" t="s">
        <v>304</v>
      </c>
      <c r="AA143" s="5" t="s">
        <v>304</v>
      </c>
      <c r="AB143" s="5" t="s">
        <v>304</v>
      </c>
      <c r="AC143" s="5" t="s">
        <v>327</v>
      </c>
      <c r="AD143" s="5" t="s">
        <v>307</v>
      </c>
      <c r="AE143" s="5">
        <v>0</v>
      </c>
      <c r="AF143" s="5" t="s">
        <v>308</v>
      </c>
      <c r="AG143" s="5" t="s">
        <v>308</v>
      </c>
      <c r="AH143" s="5" t="s">
        <v>308</v>
      </c>
      <c r="AI143" s="5"/>
    </row>
    <row r="144" spans="1:35" ht="27.75" customHeight="1">
      <c r="A144" s="5">
        <v>142</v>
      </c>
      <c r="B144" s="5" t="s">
        <v>297</v>
      </c>
      <c r="C144" s="5" t="s">
        <v>939</v>
      </c>
      <c r="D144" s="5" t="s">
        <v>337</v>
      </c>
      <c r="E144" s="5">
        <v>48</v>
      </c>
      <c r="F144" s="5" t="s">
        <v>300</v>
      </c>
      <c r="G144" s="5" t="s">
        <v>301</v>
      </c>
      <c r="H144" s="5" t="s">
        <v>821</v>
      </c>
      <c r="I144" s="5" t="s">
        <v>821</v>
      </c>
      <c r="J144" s="5" t="s">
        <v>303</v>
      </c>
      <c r="K144" s="5" t="s">
        <v>565</v>
      </c>
      <c r="L144" s="5" t="s">
        <v>304</v>
      </c>
      <c r="M144" s="5" t="s">
        <v>843</v>
      </c>
      <c r="N144" s="5" t="s">
        <v>940</v>
      </c>
      <c r="O144" s="5" t="s">
        <v>307</v>
      </c>
      <c r="P144" s="5" t="s">
        <v>304</v>
      </c>
      <c r="Q144" s="5" t="s">
        <v>301</v>
      </c>
      <c r="R144" s="5" t="s">
        <v>304</v>
      </c>
      <c r="S144" s="5" t="s">
        <v>301</v>
      </c>
      <c r="T144" s="5" t="s">
        <v>304</v>
      </c>
      <c r="U144" s="5" t="s">
        <v>304</v>
      </c>
      <c r="V144" s="5" t="s">
        <v>304</v>
      </c>
      <c r="W144" s="5" t="s">
        <v>304</v>
      </c>
      <c r="X144" s="5" t="s">
        <v>301</v>
      </c>
      <c r="Y144" s="5" t="s">
        <v>304</v>
      </c>
      <c r="Z144" s="5" t="s">
        <v>304</v>
      </c>
      <c r="AA144" s="5" t="s">
        <v>304</v>
      </c>
      <c r="AB144" s="5" t="s">
        <v>304</v>
      </c>
      <c r="AC144" s="5" t="s">
        <v>327</v>
      </c>
      <c r="AD144" s="5" t="s">
        <v>301</v>
      </c>
      <c r="AE144" s="5">
        <v>0</v>
      </c>
      <c r="AF144" s="5" t="s">
        <v>308</v>
      </c>
      <c r="AG144" s="5" t="s">
        <v>308</v>
      </c>
      <c r="AH144" s="5" t="s">
        <v>308</v>
      </c>
      <c r="AI144" s="5"/>
    </row>
    <row r="145" spans="1:35" ht="15" customHeight="1">
      <c r="A145" s="5">
        <v>143</v>
      </c>
      <c r="B145" s="5" t="s">
        <v>297</v>
      </c>
      <c r="C145" s="5" t="s">
        <v>893</v>
      </c>
      <c r="D145" s="5" t="s">
        <v>488</v>
      </c>
      <c r="E145" s="5">
        <v>40</v>
      </c>
      <c r="F145" s="5" t="s">
        <v>300</v>
      </c>
      <c r="G145" s="5" t="s">
        <v>301</v>
      </c>
      <c r="H145" s="5" t="s">
        <v>941</v>
      </c>
      <c r="I145" s="5" t="s">
        <v>310</v>
      </c>
      <c r="J145" s="5" t="s">
        <v>304</v>
      </c>
      <c r="K145" s="5" t="s">
        <v>301</v>
      </c>
      <c r="L145" s="5" t="s">
        <v>304</v>
      </c>
      <c r="M145" s="5" t="s">
        <v>306</v>
      </c>
      <c r="N145" s="5" t="s">
        <v>304</v>
      </c>
      <c r="O145" s="5" t="s">
        <v>307</v>
      </c>
      <c r="P145" s="5" t="s">
        <v>304</v>
      </c>
      <c r="Q145" s="5" t="s">
        <v>301</v>
      </c>
      <c r="R145" s="5" t="s">
        <v>304</v>
      </c>
      <c r="S145" s="5" t="s">
        <v>307</v>
      </c>
      <c r="T145" s="5" t="s">
        <v>304</v>
      </c>
      <c r="U145" s="5" t="s">
        <v>304</v>
      </c>
      <c r="V145" s="5" t="s">
        <v>304</v>
      </c>
      <c r="W145" s="5" t="s">
        <v>304</v>
      </c>
      <c r="X145" s="5" t="s">
        <v>307</v>
      </c>
      <c r="Y145" s="5" t="s">
        <v>304</v>
      </c>
      <c r="Z145" s="5" t="s">
        <v>304</v>
      </c>
      <c r="AA145" s="5" t="s">
        <v>304</v>
      </c>
      <c r="AB145" s="5" t="s">
        <v>304</v>
      </c>
      <c r="AC145" s="5" t="s">
        <v>327</v>
      </c>
      <c r="AD145" s="5" t="s">
        <v>307</v>
      </c>
      <c r="AE145" s="5" t="s">
        <v>942</v>
      </c>
      <c r="AF145" s="5" t="s">
        <v>308</v>
      </c>
      <c r="AG145" s="5" t="s">
        <v>308</v>
      </c>
      <c r="AH145" s="5" t="s">
        <v>308</v>
      </c>
      <c r="AI145" s="5"/>
    </row>
    <row r="146" spans="1:35" ht="15" customHeight="1">
      <c r="A146" s="5">
        <v>144</v>
      </c>
      <c r="B146" s="5" t="s">
        <v>297</v>
      </c>
      <c r="C146" s="5" t="s">
        <v>733</v>
      </c>
      <c r="D146" s="5" t="s">
        <v>337</v>
      </c>
      <c r="E146" s="5">
        <v>32</v>
      </c>
      <c r="F146" s="5" t="s">
        <v>300</v>
      </c>
      <c r="G146" s="5" t="s">
        <v>301</v>
      </c>
      <c r="H146" s="5" t="s">
        <v>310</v>
      </c>
      <c r="I146" s="5" t="s">
        <v>943</v>
      </c>
      <c r="J146" s="5" t="s">
        <v>304</v>
      </c>
      <c r="K146" s="5" t="s">
        <v>301</v>
      </c>
      <c r="L146" s="5" t="s">
        <v>304</v>
      </c>
      <c r="M146" s="5" t="s">
        <v>383</v>
      </c>
      <c r="N146" s="5" t="s">
        <v>304</v>
      </c>
      <c r="O146" s="5" t="s">
        <v>307</v>
      </c>
      <c r="P146" s="5" t="s">
        <v>304</v>
      </c>
      <c r="Q146" s="5" t="s">
        <v>301</v>
      </c>
      <c r="R146" s="5" t="s">
        <v>304</v>
      </c>
      <c r="S146" s="5" t="s">
        <v>301</v>
      </c>
      <c r="T146" s="5" t="s">
        <v>304</v>
      </c>
      <c r="U146" s="5" t="s">
        <v>304</v>
      </c>
      <c r="V146" s="5" t="s">
        <v>304</v>
      </c>
      <c r="W146" s="5" t="s">
        <v>304</v>
      </c>
      <c r="X146" s="5" t="s">
        <v>301</v>
      </c>
      <c r="Y146" s="5" t="s">
        <v>304</v>
      </c>
      <c r="Z146" s="5" t="s">
        <v>304</v>
      </c>
      <c r="AA146" s="5" t="s">
        <v>304</v>
      </c>
      <c r="AB146" s="5" t="s">
        <v>304</v>
      </c>
      <c r="AC146" s="5" t="s">
        <v>327</v>
      </c>
      <c r="AD146" s="5" t="s">
        <v>307</v>
      </c>
      <c r="AE146" s="5" t="s">
        <v>944</v>
      </c>
      <c r="AF146" s="5" t="s">
        <v>301</v>
      </c>
      <c r="AG146" s="5" t="s">
        <v>307</v>
      </c>
      <c r="AH146" s="5" t="s">
        <v>308</v>
      </c>
      <c r="AI146" s="5"/>
    </row>
    <row r="147" spans="1:35" ht="27.75" customHeight="1">
      <c r="A147" s="5">
        <v>145</v>
      </c>
      <c r="B147" s="5" t="s">
        <v>297</v>
      </c>
      <c r="C147" s="5" t="s">
        <v>931</v>
      </c>
      <c r="D147" s="5" t="s">
        <v>488</v>
      </c>
      <c r="E147" s="5">
        <v>60</v>
      </c>
      <c r="F147" s="5" t="s">
        <v>945</v>
      </c>
      <c r="G147" s="5" t="s">
        <v>301</v>
      </c>
      <c r="H147" s="5" t="s">
        <v>310</v>
      </c>
      <c r="I147" s="5" t="s">
        <v>303</v>
      </c>
      <c r="J147" s="5" t="s">
        <v>304</v>
      </c>
      <c r="K147" s="5" t="s">
        <v>301</v>
      </c>
      <c r="L147" s="5" t="s">
        <v>304</v>
      </c>
      <c r="M147" s="5" t="s">
        <v>843</v>
      </c>
      <c r="N147" s="5" t="s">
        <v>946</v>
      </c>
      <c r="O147" s="5" t="s">
        <v>307</v>
      </c>
      <c r="P147" s="5" t="s">
        <v>304</v>
      </c>
      <c r="Q147" s="5" t="s">
        <v>301</v>
      </c>
      <c r="R147" s="5" t="s">
        <v>304</v>
      </c>
      <c r="S147" s="5" t="s">
        <v>301</v>
      </c>
      <c r="T147" s="5" t="s">
        <v>787</v>
      </c>
      <c r="U147" s="5" t="s">
        <v>947</v>
      </c>
      <c r="V147" s="5" t="s">
        <v>304</v>
      </c>
      <c r="W147" s="5" t="s">
        <v>304</v>
      </c>
      <c r="X147" s="5" t="s">
        <v>407</v>
      </c>
      <c r="Y147" s="5" t="s">
        <v>304</v>
      </c>
      <c r="Z147" s="5" t="s">
        <v>304</v>
      </c>
      <c r="AA147" s="5" t="s">
        <v>304</v>
      </c>
      <c r="AB147" s="5" t="s">
        <v>304</v>
      </c>
      <c r="AC147" s="5" t="s">
        <v>327</v>
      </c>
      <c r="AD147" s="5" t="s">
        <v>301</v>
      </c>
      <c r="AE147" s="5" t="s">
        <v>948</v>
      </c>
      <c r="AF147" s="5" t="s">
        <v>308</v>
      </c>
      <c r="AG147" s="5" t="s">
        <v>308</v>
      </c>
      <c r="AH147" s="5" t="s">
        <v>308</v>
      </c>
      <c r="AI147" s="5"/>
    </row>
    <row r="148" spans="1:35" ht="15" customHeight="1">
      <c r="A148" s="5">
        <v>146</v>
      </c>
      <c r="B148" s="5" t="s">
        <v>297</v>
      </c>
      <c r="C148" s="5" t="s">
        <v>949</v>
      </c>
      <c r="D148" s="5" t="s">
        <v>488</v>
      </c>
      <c r="E148" s="5">
        <v>44</v>
      </c>
      <c r="F148" s="5" t="s">
        <v>300</v>
      </c>
      <c r="G148" s="5" t="s">
        <v>301</v>
      </c>
      <c r="H148" s="5" t="s">
        <v>310</v>
      </c>
      <c r="I148" s="5" t="s">
        <v>950</v>
      </c>
      <c r="J148" s="5" t="s">
        <v>951</v>
      </c>
      <c r="K148" s="5" t="s">
        <v>301</v>
      </c>
      <c r="L148" s="5" t="s">
        <v>304</v>
      </c>
      <c r="M148" s="5" t="s">
        <v>306</v>
      </c>
      <c r="N148" s="5"/>
      <c r="O148" s="5" t="s">
        <v>307</v>
      </c>
      <c r="P148" s="5" t="s">
        <v>304</v>
      </c>
      <c r="Q148" s="5" t="s">
        <v>301</v>
      </c>
      <c r="R148" s="5" t="s">
        <v>304</v>
      </c>
      <c r="S148" s="5" t="s">
        <v>307</v>
      </c>
      <c r="T148" s="5" t="s">
        <v>304</v>
      </c>
      <c r="U148" s="5" t="s">
        <v>304</v>
      </c>
      <c r="V148" s="5" t="s">
        <v>304</v>
      </c>
      <c r="W148" s="5" t="s">
        <v>304</v>
      </c>
      <c r="X148" s="5" t="s">
        <v>307</v>
      </c>
      <c r="Y148" s="5" t="s">
        <v>304</v>
      </c>
      <c r="Z148" s="5" t="s">
        <v>304</v>
      </c>
      <c r="AA148" s="5" t="s">
        <v>304</v>
      </c>
      <c r="AB148" s="5" t="s">
        <v>304</v>
      </c>
      <c r="AC148" s="5" t="s">
        <v>327</v>
      </c>
      <c r="AD148" s="5" t="s">
        <v>307</v>
      </c>
      <c r="AE148" s="5" t="s">
        <v>952</v>
      </c>
      <c r="AF148" s="5" t="s">
        <v>308</v>
      </c>
      <c r="AG148" s="5" t="s">
        <v>308</v>
      </c>
      <c r="AH148" s="5" t="s">
        <v>308</v>
      </c>
      <c r="AI148" s="5"/>
    </row>
    <row r="149" spans="1:35" ht="15" customHeight="1">
      <c r="A149" s="5">
        <v>147</v>
      </c>
      <c r="B149" s="5" t="s">
        <v>297</v>
      </c>
      <c r="C149" s="5" t="s">
        <v>953</v>
      </c>
      <c r="D149" s="5" t="s">
        <v>299</v>
      </c>
      <c r="E149" s="5">
        <v>40</v>
      </c>
      <c r="F149" s="5" t="s">
        <v>300</v>
      </c>
      <c r="G149" s="5" t="s">
        <v>301</v>
      </c>
      <c r="H149" s="5" t="s">
        <v>954</v>
      </c>
      <c r="I149" s="5" t="s">
        <v>304</v>
      </c>
      <c r="J149" s="5" t="s">
        <v>304</v>
      </c>
      <c r="K149" s="5" t="s">
        <v>831</v>
      </c>
      <c r="L149" s="5" t="s">
        <v>304</v>
      </c>
      <c r="M149" s="5" t="s">
        <v>306</v>
      </c>
      <c r="N149" s="5" t="s">
        <v>928</v>
      </c>
      <c r="O149" s="5" t="s">
        <v>307</v>
      </c>
      <c r="P149" s="5" t="s">
        <v>304</v>
      </c>
      <c r="Q149" s="5" t="s">
        <v>301</v>
      </c>
      <c r="R149" s="5" t="s">
        <v>304</v>
      </c>
      <c r="S149" s="5" t="s">
        <v>307</v>
      </c>
      <c r="T149" s="5" t="s">
        <v>304</v>
      </c>
      <c r="U149" s="5" t="s">
        <v>304</v>
      </c>
      <c r="V149" s="5" t="s">
        <v>304</v>
      </c>
      <c r="W149" s="5" t="s">
        <v>304</v>
      </c>
      <c r="X149" s="5" t="s">
        <v>307</v>
      </c>
      <c r="Y149" s="5" t="s">
        <v>304</v>
      </c>
      <c r="Z149" s="5" t="s">
        <v>304</v>
      </c>
      <c r="AA149" s="5" t="s">
        <v>304</v>
      </c>
      <c r="AB149" s="5" t="s">
        <v>304</v>
      </c>
      <c r="AC149" s="5" t="s">
        <v>327</v>
      </c>
      <c r="AD149" s="5" t="s">
        <v>301</v>
      </c>
      <c r="AE149" s="5">
        <v>0</v>
      </c>
      <c r="AF149" s="5" t="s">
        <v>308</v>
      </c>
      <c r="AG149" s="5" t="s">
        <v>308</v>
      </c>
      <c r="AH149" s="5" t="s">
        <v>308</v>
      </c>
      <c r="AI149" s="5"/>
    </row>
    <row r="150" spans="1:35" ht="15" customHeight="1">
      <c r="A150" s="5">
        <v>148</v>
      </c>
      <c r="B150" s="5" t="s">
        <v>297</v>
      </c>
      <c r="C150" s="5" t="s">
        <v>955</v>
      </c>
      <c r="D150" s="5" t="s">
        <v>337</v>
      </c>
      <c r="E150" s="5">
        <v>34</v>
      </c>
      <c r="F150" s="5" t="s">
        <v>300</v>
      </c>
      <c r="G150" s="5" t="s">
        <v>301</v>
      </c>
      <c r="H150" s="5" t="s">
        <v>328</v>
      </c>
      <c r="I150" s="5" t="s">
        <v>302</v>
      </c>
      <c r="J150" s="5" t="s">
        <v>304</v>
      </c>
      <c r="K150" s="5" t="s">
        <v>301</v>
      </c>
      <c r="L150" s="5" t="s">
        <v>304</v>
      </c>
      <c r="M150" s="5" t="s">
        <v>313</v>
      </c>
      <c r="N150" s="5" t="s">
        <v>304</v>
      </c>
      <c r="O150" s="5" t="s">
        <v>307</v>
      </c>
      <c r="P150" s="5" t="s">
        <v>304</v>
      </c>
      <c r="Q150" s="5" t="s">
        <v>301</v>
      </c>
      <c r="R150" s="5" t="s">
        <v>304</v>
      </c>
      <c r="S150" s="5" t="s">
        <v>301</v>
      </c>
      <c r="T150" s="5" t="s">
        <v>304</v>
      </c>
      <c r="U150" s="5" t="s">
        <v>304</v>
      </c>
      <c r="V150" s="5" t="s">
        <v>304</v>
      </c>
      <c r="W150" s="5" t="s">
        <v>304</v>
      </c>
      <c r="X150" s="5" t="s">
        <v>307</v>
      </c>
      <c r="Y150" s="5" t="s">
        <v>304</v>
      </c>
      <c r="Z150" s="5" t="s">
        <v>304</v>
      </c>
      <c r="AA150" s="5" t="s">
        <v>304</v>
      </c>
      <c r="AB150" s="5" t="s">
        <v>307</v>
      </c>
      <c r="AC150" s="5" t="s">
        <v>327</v>
      </c>
      <c r="AD150" s="5" t="s">
        <v>301</v>
      </c>
      <c r="AE150" s="5" t="s">
        <v>922</v>
      </c>
      <c r="AF150" s="5" t="s">
        <v>308</v>
      </c>
      <c r="AG150" s="5" t="s">
        <v>308</v>
      </c>
      <c r="AH150" s="5" t="s">
        <v>308</v>
      </c>
      <c r="AI150" s="5"/>
    </row>
    <row r="151" spans="1:35" ht="15" customHeight="1">
      <c r="A151" s="5">
        <v>149</v>
      </c>
      <c r="B151" s="5" t="s">
        <v>297</v>
      </c>
      <c r="C151" s="5" t="s">
        <v>956</v>
      </c>
      <c r="D151" s="5" t="s">
        <v>337</v>
      </c>
      <c r="E151" s="5">
        <v>36</v>
      </c>
      <c r="F151" s="5" t="s">
        <v>300</v>
      </c>
      <c r="G151" s="5" t="s">
        <v>301</v>
      </c>
      <c r="H151" s="5" t="s">
        <v>328</v>
      </c>
      <c r="I151" s="5" t="s">
        <v>303</v>
      </c>
      <c r="J151" s="5" t="s">
        <v>304</v>
      </c>
      <c r="K151" s="5" t="s">
        <v>301</v>
      </c>
      <c r="L151" s="5" t="s">
        <v>304</v>
      </c>
      <c r="M151" s="5" t="s">
        <v>383</v>
      </c>
      <c r="N151" s="5" t="s">
        <v>957</v>
      </c>
      <c r="O151" s="5" t="s">
        <v>307</v>
      </c>
      <c r="P151" s="5" t="s">
        <v>304</v>
      </c>
      <c r="Q151" s="5" t="s">
        <v>301</v>
      </c>
      <c r="R151" s="5" t="s">
        <v>304</v>
      </c>
      <c r="S151" s="5" t="s">
        <v>301</v>
      </c>
      <c r="T151" s="5" t="s">
        <v>304</v>
      </c>
      <c r="U151" s="5" t="s">
        <v>304</v>
      </c>
      <c r="V151" s="5" t="s">
        <v>304</v>
      </c>
      <c r="W151" s="5" t="s">
        <v>304</v>
      </c>
      <c r="X151" s="5" t="s">
        <v>307</v>
      </c>
      <c r="Y151" s="5" t="s">
        <v>304</v>
      </c>
      <c r="Z151" s="5" t="s">
        <v>304</v>
      </c>
      <c r="AA151" s="5" t="s">
        <v>304</v>
      </c>
      <c r="AB151" s="5" t="s">
        <v>304</v>
      </c>
      <c r="AC151" s="5" t="s">
        <v>327</v>
      </c>
      <c r="AD151" s="5" t="s">
        <v>301</v>
      </c>
      <c r="AE151" s="5" t="s">
        <v>308</v>
      </c>
      <c r="AF151" s="5" t="s">
        <v>308</v>
      </c>
      <c r="AG151" s="5" t="s">
        <v>308</v>
      </c>
      <c r="AH151" s="5" t="s">
        <v>308</v>
      </c>
      <c r="AI151" s="5"/>
    </row>
    <row r="152" spans="1:35" ht="15" customHeight="1">
      <c r="A152" s="5">
        <v>150</v>
      </c>
      <c r="B152" s="5" t="s">
        <v>297</v>
      </c>
      <c r="C152" s="5" t="s">
        <v>932</v>
      </c>
      <c r="D152" s="5" t="s">
        <v>337</v>
      </c>
      <c r="E152" s="5">
        <v>41</v>
      </c>
      <c r="F152" s="5" t="s">
        <v>300</v>
      </c>
      <c r="G152" s="5" t="s">
        <v>301</v>
      </c>
      <c r="H152" s="5" t="s">
        <v>821</v>
      </c>
      <c r="I152" s="5" t="s">
        <v>958</v>
      </c>
      <c r="J152" s="5" t="s">
        <v>304</v>
      </c>
      <c r="K152" s="5" t="s">
        <v>301</v>
      </c>
      <c r="L152" s="5" t="s">
        <v>304</v>
      </c>
      <c r="M152" s="5" t="s">
        <v>313</v>
      </c>
      <c r="N152" s="5" t="s">
        <v>959</v>
      </c>
      <c r="O152" s="5" t="s">
        <v>307</v>
      </c>
      <c r="P152" s="5" t="s">
        <v>304</v>
      </c>
      <c r="Q152" s="5" t="s">
        <v>301</v>
      </c>
      <c r="R152" s="5" t="s">
        <v>304</v>
      </c>
      <c r="S152" s="5" t="s">
        <v>301</v>
      </c>
      <c r="T152" s="5" t="s">
        <v>304</v>
      </c>
      <c r="U152" s="5" t="s">
        <v>304</v>
      </c>
      <c r="V152" s="5" t="s">
        <v>304</v>
      </c>
      <c r="W152" s="5" t="s">
        <v>304</v>
      </c>
      <c r="X152" s="5" t="s">
        <v>307</v>
      </c>
      <c r="Y152" s="5" t="s">
        <v>304</v>
      </c>
      <c r="Z152" s="5" t="s">
        <v>304</v>
      </c>
      <c r="AA152" s="5" t="s">
        <v>304</v>
      </c>
      <c r="AB152" s="5" t="s">
        <v>304</v>
      </c>
      <c r="AC152" s="5" t="s">
        <v>327</v>
      </c>
      <c r="AD152" s="5" t="s">
        <v>301</v>
      </c>
      <c r="AE152" s="5">
        <v>0</v>
      </c>
      <c r="AF152" s="5" t="s">
        <v>308</v>
      </c>
      <c r="AG152" s="5" t="s">
        <v>308</v>
      </c>
      <c r="AH152" s="5" t="s">
        <v>308</v>
      </c>
      <c r="AI152" s="5"/>
    </row>
    <row r="153" spans="1:35" ht="15" customHeight="1">
      <c r="A153" s="5">
        <v>151</v>
      </c>
      <c r="B153" s="5" t="s">
        <v>297</v>
      </c>
      <c r="C153" s="5" t="s">
        <v>931</v>
      </c>
      <c r="D153" s="5" t="s">
        <v>488</v>
      </c>
      <c r="E153" s="5">
        <v>18</v>
      </c>
      <c r="F153" s="5" t="s">
        <v>300</v>
      </c>
      <c r="G153" s="5" t="s">
        <v>301</v>
      </c>
      <c r="H153" s="5" t="s">
        <v>960</v>
      </c>
      <c r="I153" s="5" t="s">
        <v>821</v>
      </c>
      <c r="J153" s="5" t="s">
        <v>304</v>
      </c>
      <c r="K153" s="5" t="s">
        <v>301</v>
      </c>
      <c r="L153" s="5" t="s">
        <v>304</v>
      </c>
      <c r="M153" s="5" t="s">
        <v>306</v>
      </c>
      <c r="N153" s="5" t="s">
        <v>304</v>
      </c>
      <c r="O153" s="5" t="s">
        <v>307</v>
      </c>
      <c r="P153" s="5" t="s">
        <v>304</v>
      </c>
      <c r="Q153" s="5" t="s">
        <v>307</v>
      </c>
      <c r="R153" s="5" t="s">
        <v>961</v>
      </c>
      <c r="S153" s="5" t="s">
        <v>301</v>
      </c>
      <c r="T153" s="5" t="s">
        <v>304</v>
      </c>
      <c r="U153" s="5" t="s">
        <v>304</v>
      </c>
      <c r="V153" s="5" t="s">
        <v>304</v>
      </c>
      <c r="W153" s="5" t="s">
        <v>304</v>
      </c>
      <c r="X153" s="5" t="s">
        <v>304</v>
      </c>
      <c r="Y153" s="5" t="s">
        <v>304</v>
      </c>
      <c r="Z153" s="5" t="s">
        <v>304</v>
      </c>
      <c r="AA153" s="5" t="s">
        <v>304</v>
      </c>
      <c r="AB153" s="5" t="s">
        <v>962</v>
      </c>
      <c r="AC153" s="5" t="s">
        <v>327</v>
      </c>
      <c r="AD153" s="5" t="s">
        <v>307</v>
      </c>
      <c r="AE153" s="5" t="s">
        <v>304</v>
      </c>
      <c r="AF153" s="5" t="s">
        <v>304</v>
      </c>
      <c r="AG153" s="5" t="s">
        <v>304</v>
      </c>
      <c r="AH153" s="5" t="s">
        <v>304</v>
      </c>
      <c r="AI153" s="5"/>
    </row>
    <row r="154" spans="1:35" ht="15" customHeight="1">
      <c r="A154" s="5">
        <v>152</v>
      </c>
      <c r="B154" s="5" t="s">
        <v>297</v>
      </c>
      <c r="C154" s="5" t="s">
        <v>932</v>
      </c>
      <c r="D154" s="5" t="s">
        <v>337</v>
      </c>
      <c r="E154" s="5">
        <v>41</v>
      </c>
      <c r="F154" s="5" t="s">
        <v>300</v>
      </c>
      <c r="G154" s="5" t="s">
        <v>301</v>
      </c>
      <c r="H154" s="5" t="s">
        <v>310</v>
      </c>
      <c r="I154" s="5" t="s">
        <v>304</v>
      </c>
      <c r="J154" s="5" t="s">
        <v>304</v>
      </c>
      <c r="K154" s="5" t="s">
        <v>301</v>
      </c>
      <c r="L154" s="5" t="s">
        <v>304</v>
      </c>
      <c r="M154" s="5" t="s">
        <v>313</v>
      </c>
      <c r="N154" s="5" t="s">
        <v>304</v>
      </c>
      <c r="O154" s="5" t="s">
        <v>307</v>
      </c>
      <c r="P154" s="5" t="s">
        <v>304</v>
      </c>
      <c r="Q154" s="5" t="s">
        <v>301</v>
      </c>
      <c r="R154" s="5" t="s">
        <v>963</v>
      </c>
      <c r="S154" s="5" t="s">
        <v>301</v>
      </c>
      <c r="T154" s="5" t="s">
        <v>304</v>
      </c>
      <c r="U154" s="5" t="s">
        <v>304</v>
      </c>
      <c r="V154" s="5" t="s">
        <v>304</v>
      </c>
      <c r="W154" s="5" t="s">
        <v>304</v>
      </c>
      <c r="X154" s="5" t="s">
        <v>304</v>
      </c>
      <c r="Y154" s="5" t="s">
        <v>304</v>
      </c>
      <c r="Z154" s="5" t="s">
        <v>304</v>
      </c>
      <c r="AA154" s="5" t="s">
        <v>304</v>
      </c>
      <c r="AB154" s="5" t="s">
        <v>304</v>
      </c>
      <c r="AC154" s="5" t="s">
        <v>327</v>
      </c>
      <c r="AD154" s="5" t="s">
        <v>301</v>
      </c>
      <c r="AE154" s="5" t="s">
        <v>304</v>
      </c>
      <c r="AF154" s="5" t="s">
        <v>304</v>
      </c>
      <c r="AG154" s="5" t="s">
        <v>304</v>
      </c>
      <c r="AH154" s="5" t="s">
        <v>304</v>
      </c>
      <c r="AI154" s="5"/>
    </row>
    <row r="155" spans="1:35" ht="15" customHeight="1">
      <c r="A155" s="5">
        <v>153</v>
      </c>
      <c r="B155" s="5" t="s">
        <v>297</v>
      </c>
      <c r="C155" s="5" t="s">
        <v>955</v>
      </c>
      <c r="D155" s="5" t="s">
        <v>337</v>
      </c>
      <c r="E155" s="5">
        <v>35</v>
      </c>
      <c r="F155" s="5" t="s">
        <v>300</v>
      </c>
      <c r="G155" s="5" t="s">
        <v>301</v>
      </c>
      <c r="H155" s="5" t="s">
        <v>310</v>
      </c>
      <c r="I155" s="5" t="s">
        <v>304</v>
      </c>
      <c r="J155" s="5" t="s">
        <v>304</v>
      </c>
      <c r="K155" s="5" t="s">
        <v>301</v>
      </c>
      <c r="L155" s="5" t="s">
        <v>304</v>
      </c>
      <c r="M155" s="5" t="s">
        <v>313</v>
      </c>
      <c r="N155" s="5" t="s">
        <v>304</v>
      </c>
      <c r="O155" s="5" t="s">
        <v>307</v>
      </c>
      <c r="P155" s="5" t="s">
        <v>304</v>
      </c>
      <c r="Q155" s="5" t="s">
        <v>307</v>
      </c>
      <c r="R155" s="5" t="s">
        <v>304</v>
      </c>
      <c r="S155" s="5" t="s">
        <v>301</v>
      </c>
      <c r="T155" s="5" t="s">
        <v>304</v>
      </c>
      <c r="U155" s="5" t="s">
        <v>304</v>
      </c>
      <c r="V155" s="5" t="s">
        <v>304</v>
      </c>
      <c r="W155" s="5" t="s">
        <v>304</v>
      </c>
      <c r="X155" s="5" t="s">
        <v>304</v>
      </c>
      <c r="Y155" s="5" t="s">
        <v>304</v>
      </c>
      <c r="Z155" s="5" t="s">
        <v>304</v>
      </c>
      <c r="AA155" s="5" t="s">
        <v>304</v>
      </c>
      <c r="AB155" s="5" t="s">
        <v>304</v>
      </c>
      <c r="AC155" s="5" t="s">
        <v>327</v>
      </c>
      <c r="AD155" s="5" t="s">
        <v>307</v>
      </c>
      <c r="AE155" s="5" t="s">
        <v>304</v>
      </c>
      <c r="AF155" s="5" t="s">
        <v>304</v>
      </c>
      <c r="AG155" s="5" t="s">
        <v>304</v>
      </c>
      <c r="AH155" s="5" t="s">
        <v>304</v>
      </c>
      <c r="AI155" s="5"/>
    </row>
    <row r="156" spans="1:35" ht="41.25" customHeight="1">
      <c r="A156" s="5">
        <v>154</v>
      </c>
      <c r="B156" s="5" t="s">
        <v>297</v>
      </c>
      <c r="C156" s="5" t="s">
        <v>955</v>
      </c>
      <c r="D156" s="5" t="s">
        <v>337</v>
      </c>
      <c r="E156" s="5">
        <v>25</v>
      </c>
      <c r="F156" s="5" t="s">
        <v>300</v>
      </c>
      <c r="G156" s="5" t="s">
        <v>301</v>
      </c>
      <c r="H156" s="5" t="s">
        <v>310</v>
      </c>
      <c r="I156" s="5" t="s">
        <v>964</v>
      </c>
      <c r="J156" s="5" t="s">
        <v>303</v>
      </c>
      <c r="K156" s="5" t="s">
        <v>965</v>
      </c>
      <c r="L156" s="5" t="s">
        <v>965</v>
      </c>
      <c r="M156" s="5" t="s">
        <v>313</v>
      </c>
      <c r="N156" s="5" t="s">
        <v>966</v>
      </c>
      <c r="O156" s="5" t="s">
        <v>307</v>
      </c>
      <c r="P156" s="5" t="s">
        <v>304</v>
      </c>
      <c r="Q156" s="5" t="s">
        <v>301</v>
      </c>
      <c r="R156" s="5" t="s">
        <v>967</v>
      </c>
      <c r="S156" s="5" t="s">
        <v>307</v>
      </c>
      <c r="T156" s="5" t="s">
        <v>304</v>
      </c>
      <c r="U156" s="5" t="s">
        <v>304</v>
      </c>
      <c r="V156" s="5" t="s">
        <v>304</v>
      </c>
      <c r="W156" s="5" t="s">
        <v>304</v>
      </c>
      <c r="X156" s="5" t="s">
        <v>301</v>
      </c>
      <c r="Y156" s="5" t="s">
        <v>304</v>
      </c>
      <c r="Z156" s="5" t="s">
        <v>304</v>
      </c>
      <c r="AA156" s="5" t="s">
        <v>304</v>
      </c>
      <c r="AB156" s="5" t="s">
        <v>929</v>
      </c>
      <c r="AC156" s="5" t="s">
        <v>371</v>
      </c>
      <c r="AD156" s="5" t="s">
        <v>301</v>
      </c>
      <c r="AE156" s="5" t="s">
        <v>334</v>
      </c>
      <c r="AF156" s="5" t="s">
        <v>304</v>
      </c>
      <c r="AG156" s="5" t="s">
        <v>304</v>
      </c>
      <c r="AH156" s="5" t="s">
        <v>304</v>
      </c>
      <c r="AI156" s="5"/>
    </row>
    <row r="157" spans="1:35" ht="27.75" customHeight="1">
      <c r="A157" s="5">
        <v>155</v>
      </c>
      <c r="B157" s="5" t="s">
        <v>297</v>
      </c>
      <c r="C157" s="5" t="s">
        <v>955</v>
      </c>
      <c r="D157" s="5" t="s">
        <v>337</v>
      </c>
      <c r="E157" s="5">
        <v>54</v>
      </c>
      <c r="F157" s="5" t="s">
        <v>300</v>
      </c>
      <c r="G157" s="5" t="s">
        <v>301</v>
      </c>
      <c r="H157" s="5" t="s">
        <v>968</v>
      </c>
      <c r="I157" s="5" t="s">
        <v>969</v>
      </c>
      <c r="J157" s="5" t="s">
        <v>970</v>
      </c>
      <c r="K157" s="5" t="s">
        <v>971</v>
      </c>
      <c r="L157" s="5" t="s">
        <v>971</v>
      </c>
      <c r="M157" s="5" t="s">
        <v>313</v>
      </c>
      <c r="N157" s="5" t="s">
        <v>304</v>
      </c>
      <c r="O157" s="5" t="s">
        <v>307</v>
      </c>
      <c r="P157" s="5" t="s">
        <v>304</v>
      </c>
      <c r="Q157" s="5" t="s">
        <v>301</v>
      </c>
      <c r="R157" s="5" t="s">
        <v>935</v>
      </c>
      <c r="S157" s="5" t="s">
        <v>301</v>
      </c>
      <c r="T157" s="5" t="s">
        <v>972</v>
      </c>
      <c r="U157" s="5" t="s">
        <v>973</v>
      </c>
      <c r="V157" s="5" t="s">
        <v>304</v>
      </c>
      <c r="W157" s="5" t="s">
        <v>304</v>
      </c>
      <c r="X157" s="5" t="s">
        <v>301</v>
      </c>
      <c r="Y157" s="5" t="s">
        <v>974</v>
      </c>
      <c r="Z157" s="5" t="s">
        <v>304</v>
      </c>
      <c r="AA157" s="5" t="s">
        <v>304</v>
      </c>
      <c r="AB157" s="5" t="s">
        <v>818</v>
      </c>
      <c r="AC157" s="5" t="s">
        <v>327</v>
      </c>
      <c r="AD157" s="5" t="s">
        <v>301</v>
      </c>
      <c r="AE157" s="5" t="s">
        <v>304</v>
      </c>
      <c r="AF157" s="5" t="s">
        <v>304</v>
      </c>
      <c r="AG157" s="5" t="s">
        <v>304</v>
      </c>
      <c r="AH157" s="5" t="s">
        <v>304</v>
      </c>
      <c r="AI157" s="5"/>
    </row>
    <row r="158" spans="1:35" ht="41.25" customHeight="1">
      <c r="A158" s="5">
        <v>156</v>
      </c>
      <c r="B158" s="5" t="s">
        <v>297</v>
      </c>
      <c r="C158" s="5" t="s">
        <v>955</v>
      </c>
      <c r="D158" s="5" t="s">
        <v>337</v>
      </c>
      <c r="E158" s="5">
        <v>18</v>
      </c>
      <c r="F158" s="5" t="s">
        <v>300</v>
      </c>
      <c r="G158" s="5" t="s">
        <v>301</v>
      </c>
      <c r="H158" s="5" t="s">
        <v>304</v>
      </c>
      <c r="I158" s="5" t="s">
        <v>304</v>
      </c>
      <c r="J158" s="5" t="s">
        <v>304</v>
      </c>
      <c r="K158" s="5" t="s">
        <v>301</v>
      </c>
      <c r="L158" s="5" t="s">
        <v>975</v>
      </c>
      <c r="M158" s="5" t="s">
        <v>843</v>
      </c>
      <c r="N158" s="5" t="s">
        <v>976</v>
      </c>
      <c r="O158" s="5" t="s">
        <v>307</v>
      </c>
      <c r="P158" s="5" t="s">
        <v>304</v>
      </c>
      <c r="Q158" s="5" t="s">
        <v>307</v>
      </c>
      <c r="R158" s="5" t="s">
        <v>304</v>
      </c>
      <c r="S158" s="5" t="s">
        <v>307</v>
      </c>
      <c r="T158" s="5" t="s">
        <v>977</v>
      </c>
      <c r="U158" s="5" t="s">
        <v>978</v>
      </c>
      <c r="V158" s="5" t="s">
        <v>304</v>
      </c>
      <c r="W158" s="5" t="s">
        <v>818</v>
      </c>
      <c r="X158" s="5" t="s">
        <v>301</v>
      </c>
      <c r="Y158" s="5" t="s">
        <v>304</v>
      </c>
      <c r="Z158" s="5" t="s">
        <v>304</v>
      </c>
      <c r="AA158" s="5" t="s">
        <v>304</v>
      </c>
      <c r="AB158" s="5" t="s">
        <v>979</v>
      </c>
      <c r="AC158" s="5" t="s">
        <v>317</v>
      </c>
      <c r="AD158" s="5" t="s">
        <v>301</v>
      </c>
      <c r="AE158" s="5" t="s">
        <v>334</v>
      </c>
      <c r="AF158" s="5" t="s">
        <v>304</v>
      </c>
      <c r="AG158" s="5" t="s">
        <v>304</v>
      </c>
      <c r="AH158" s="5" t="s">
        <v>304</v>
      </c>
      <c r="AI158" s="5"/>
    </row>
    <row r="159" spans="1:35" ht="27.75" customHeight="1">
      <c r="A159" s="5">
        <v>157</v>
      </c>
      <c r="B159" s="5" t="s">
        <v>297</v>
      </c>
      <c r="C159" s="5" t="s">
        <v>955</v>
      </c>
      <c r="D159" s="5" t="s">
        <v>337</v>
      </c>
      <c r="E159" s="5">
        <v>26</v>
      </c>
      <c r="F159" s="5" t="s">
        <v>300</v>
      </c>
      <c r="G159" s="5" t="s">
        <v>301</v>
      </c>
      <c r="H159" s="5" t="s">
        <v>310</v>
      </c>
      <c r="I159" s="5" t="s">
        <v>304</v>
      </c>
      <c r="J159" s="5" t="s">
        <v>304</v>
      </c>
      <c r="K159" s="5" t="s">
        <v>301</v>
      </c>
      <c r="L159" s="5" t="s">
        <v>980</v>
      </c>
      <c r="M159" s="5" t="s">
        <v>306</v>
      </c>
      <c r="N159" s="5" t="s">
        <v>981</v>
      </c>
      <c r="O159" s="5" t="s">
        <v>307</v>
      </c>
      <c r="P159" s="5" t="s">
        <v>304</v>
      </c>
      <c r="Q159" s="5" t="s">
        <v>301</v>
      </c>
      <c r="R159" s="5" t="s">
        <v>982</v>
      </c>
      <c r="S159" s="5" t="s">
        <v>307</v>
      </c>
      <c r="T159" s="5" t="s">
        <v>304</v>
      </c>
      <c r="U159" s="5" t="s">
        <v>304</v>
      </c>
      <c r="V159" s="5" t="s">
        <v>304</v>
      </c>
      <c r="W159" s="5" t="s">
        <v>304</v>
      </c>
      <c r="X159" s="5" t="s">
        <v>983</v>
      </c>
      <c r="Y159" s="5" t="s">
        <v>304</v>
      </c>
      <c r="Z159" s="5" t="s">
        <v>304</v>
      </c>
      <c r="AA159" s="5" t="s">
        <v>304</v>
      </c>
      <c r="AB159" s="5" t="s">
        <v>984</v>
      </c>
      <c r="AC159" s="5" t="s">
        <v>334</v>
      </c>
      <c r="AD159" s="5" t="s">
        <v>307</v>
      </c>
      <c r="AE159" s="5" t="s">
        <v>334</v>
      </c>
      <c r="AF159" s="5" t="s">
        <v>304</v>
      </c>
      <c r="AG159" s="5" t="s">
        <v>304</v>
      </c>
      <c r="AH159" s="5" t="s">
        <v>304</v>
      </c>
      <c r="AI159" s="5"/>
    </row>
    <row r="160" spans="1:35" ht="27.75" customHeight="1">
      <c r="A160" s="5">
        <v>158</v>
      </c>
      <c r="B160" s="5" t="s">
        <v>297</v>
      </c>
      <c r="C160" s="5" t="s">
        <v>955</v>
      </c>
      <c r="D160" s="5" t="s">
        <v>337</v>
      </c>
      <c r="E160" s="5">
        <v>22</v>
      </c>
      <c r="F160" s="5" t="s">
        <v>300</v>
      </c>
      <c r="G160" s="5" t="s">
        <v>301</v>
      </c>
      <c r="H160" s="5" t="s">
        <v>334</v>
      </c>
      <c r="I160" s="5" t="s">
        <v>304</v>
      </c>
      <c r="J160" s="5" t="s">
        <v>304</v>
      </c>
      <c r="K160" s="5" t="s">
        <v>304</v>
      </c>
      <c r="L160" s="5" t="s">
        <v>985</v>
      </c>
      <c r="M160" s="5" t="s">
        <v>843</v>
      </c>
      <c r="N160" s="5" t="s">
        <v>986</v>
      </c>
      <c r="O160" s="5" t="s">
        <v>307</v>
      </c>
      <c r="P160" s="5" t="s">
        <v>304</v>
      </c>
      <c r="Q160" s="5" t="s">
        <v>301</v>
      </c>
      <c r="R160" s="5" t="s">
        <v>987</v>
      </c>
      <c r="S160" s="5" t="s">
        <v>307</v>
      </c>
      <c r="T160" s="5" t="s">
        <v>304</v>
      </c>
      <c r="U160" s="5" t="s">
        <v>304</v>
      </c>
      <c r="V160" s="5" t="s">
        <v>304</v>
      </c>
      <c r="W160" s="5" t="s">
        <v>304</v>
      </c>
      <c r="X160" s="5" t="s">
        <v>301</v>
      </c>
      <c r="Y160" s="5" t="s">
        <v>304</v>
      </c>
      <c r="Z160" s="5" t="s">
        <v>304</v>
      </c>
      <c r="AA160" s="5" t="s">
        <v>304</v>
      </c>
      <c r="AB160" s="5" t="s">
        <v>988</v>
      </c>
      <c r="AC160" s="5" t="s">
        <v>819</v>
      </c>
      <c r="AD160" s="5" t="s">
        <v>301</v>
      </c>
      <c r="AE160" s="5" t="s">
        <v>334</v>
      </c>
      <c r="AF160" s="5" t="s">
        <v>304</v>
      </c>
      <c r="AG160" s="5" t="s">
        <v>304</v>
      </c>
      <c r="AH160" s="5" t="s">
        <v>304</v>
      </c>
      <c r="AI160" s="5"/>
    </row>
    <row r="161" spans="1:35" ht="27.75" customHeight="1">
      <c r="A161" s="5">
        <v>159</v>
      </c>
      <c r="B161" s="5" t="s">
        <v>297</v>
      </c>
      <c r="C161" s="5" t="s">
        <v>932</v>
      </c>
      <c r="D161" s="5" t="s">
        <v>337</v>
      </c>
      <c r="E161" s="5">
        <v>18</v>
      </c>
      <c r="F161" s="5" t="s">
        <v>300</v>
      </c>
      <c r="G161" s="5" t="s">
        <v>301</v>
      </c>
      <c r="H161" s="5" t="s">
        <v>310</v>
      </c>
      <c r="I161" s="5" t="s">
        <v>304</v>
      </c>
      <c r="J161" s="5" t="s">
        <v>304</v>
      </c>
      <c r="K161" s="5" t="s">
        <v>304</v>
      </c>
      <c r="L161" s="5" t="s">
        <v>989</v>
      </c>
      <c r="M161" s="5" t="s">
        <v>313</v>
      </c>
      <c r="N161" s="5" t="s">
        <v>304</v>
      </c>
      <c r="O161" s="5" t="s">
        <v>307</v>
      </c>
      <c r="P161" s="5" t="s">
        <v>304</v>
      </c>
      <c r="Q161" s="5" t="s">
        <v>301</v>
      </c>
      <c r="R161" s="5" t="s">
        <v>990</v>
      </c>
      <c r="S161" s="5" t="s">
        <v>301</v>
      </c>
      <c r="T161" s="5" t="s">
        <v>991</v>
      </c>
      <c r="U161" s="5" t="s">
        <v>992</v>
      </c>
      <c r="V161" s="5" t="s">
        <v>881</v>
      </c>
      <c r="W161" s="5" t="s">
        <v>304</v>
      </c>
      <c r="X161" s="5" t="s">
        <v>301</v>
      </c>
      <c r="Y161" s="5" t="s">
        <v>304</v>
      </c>
      <c r="Z161" s="5" t="s">
        <v>304</v>
      </c>
      <c r="AA161" s="5" t="s">
        <v>304</v>
      </c>
      <c r="AB161" s="5" t="s">
        <v>993</v>
      </c>
      <c r="AC161" s="5" t="s">
        <v>317</v>
      </c>
      <c r="AD161" s="5" t="s">
        <v>301</v>
      </c>
      <c r="AE161" s="5" t="s">
        <v>334</v>
      </c>
      <c r="AF161" s="5" t="s">
        <v>304</v>
      </c>
      <c r="AG161" s="5" t="s">
        <v>304</v>
      </c>
      <c r="AH161" s="5" t="s">
        <v>304</v>
      </c>
      <c r="AI161" s="5"/>
    </row>
    <row r="162" spans="1:35" ht="41.25" customHeight="1">
      <c r="A162" s="5">
        <v>160</v>
      </c>
      <c r="B162" s="5" t="s">
        <v>297</v>
      </c>
      <c r="C162" s="5" t="s">
        <v>994</v>
      </c>
      <c r="D162" s="5" t="s">
        <v>995</v>
      </c>
      <c r="E162" s="5">
        <v>32</v>
      </c>
      <c r="F162" s="5" t="s">
        <v>300</v>
      </c>
      <c r="G162" s="5" t="s">
        <v>301</v>
      </c>
      <c r="H162" s="5" t="s">
        <v>996</v>
      </c>
      <c r="I162" s="5" t="s">
        <v>997</v>
      </c>
      <c r="J162" s="5" t="s">
        <v>998</v>
      </c>
      <c r="K162" s="5" t="s">
        <v>304</v>
      </c>
      <c r="L162" s="5" t="s">
        <v>999</v>
      </c>
      <c r="M162" s="5" t="s">
        <v>306</v>
      </c>
      <c r="N162" s="5" t="s">
        <v>1000</v>
      </c>
      <c r="O162" s="5" t="s">
        <v>307</v>
      </c>
      <c r="P162" s="5" t="s">
        <v>304</v>
      </c>
      <c r="Q162" s="5" t="s">
        <v>304</v>
      </c>
      <c r="R162" s="5" t="s">
        <v>1001</v>
      </c>
      <c r="S162" s="5" t="s">
        <v>307</v>
      </c>
      <c r="T162" s="5" t="s">
        <v>787</v>
      </c>
      <c r="U162" s="5" t="s">
        <v>304</v>
      </c>
      <c r="V162" s="5" t="s">
        <v>304</v>
      </c>
      <c r="W162" s="5" t="s">
        <v>304</v>
      </c>
      <c r="X162" s="5" t="s">
        <v>301</v>
      </c>
      <c r="Y162" s="5" t="s">
        <v>1002</v>
      </c>
      <c r="Z162" s="5" t="s">
        <v>1003</v>
      </c>
      <c r="AA162" s="5" t="s">
        <v>304</v>
      </c>
      <c r="AB162" s="5" t="s">
        <v>304</v>
      </c>
      <c r="AC162" s="5" t="s">
        <v>819</v>
      </c>
      <c r="AD162" s="5" t="s">
        <v>301</v>
      </c>
      <c r="AE162" s="5" t="s">
        <v>334</v>
      </c>
      <c r="AF162" s="5" t="s">
        <v>304</v>
      </c>
      <c r="AG162" s="5" t="s">
        <v>304</v>
      </c>
      <c r="AH162" s="5" t="s">
        <v>304</v>
      </c>
      <c r="AI162" s="5"/>
    </row>
    <row r="163" spans="1:35" ht="27.75" customHeight="1">
      <c r="A163" s="5">
        <v>161</v>
      </c>
      <c r="B163" s="5" t="s">
        <v>297</v>
      </c>
      <c r="C163" s="5" t="s">
        <v>994</v>
      </c>
      <c r="D163" s="5" t="s">
        <v>995</v>
      </c>
      <c r="E163" s="5">
        <v>32</v>
      </c>
      <c r="F163" s="5" t="s">
        <v>300</v>
      </c>
      <c r="G163" s="5" t="s">
        <v>301</v>
      </c>
      <c r="H163" s="5" t="s">
        <v>303</v>
      </c>
      <c r="I163" s="5" t="s">
        <v>1004</v>
      </c>
      <c r="J163" s="5" t="s">
        <v>304</v>
      </c>
      <c r="K163" s="5" t="s">
        <v>304</v>
      </c>
      <c r="L163" s="5" t="s">
        <v>1005</v>
      </c>
      <c r="M163" s="5" t="s">
        <v>306</v>
      </c>
      <c r="N163" s="5" t="s">
        <v>304</v>
      </c>
      <c r="O163" s="5" t="s">
        <v>307</v>
      </c>
      <c r="P163" s="5" t="s">
        <v>304</v>
      </c>
      <c r="Q163" s="5" t="s">
        <v>307</v>
      </c>
      <c r="R163" s="5" t="s">
        <v>1006</v>
      </c>
      <c r="S163" s="5" t="s">
        <v>301</v>
      </c>
      <c r="T163" s="5" t="s">
        <v>304</v>
      </c>
      <c r="U163" s="5" t="s">
        <v>304</v>
      </c>
      <c r="V163" s="5" t="s">
        <v>304</v>
      </c>
      <c r="W163" s="5" t="s">
        <v>881</v>
      </c>
      <c r="X163" s="5" t="s">
        <v>304</v>
      </c>
      <c r="Y163" s="5" t="s">
        <v>304</v>
      </c>
      <c r="Z163" s="5" t="s">
        <v>304</v>
      </c>
      <c r="AA163" s="5" t="s">
        <v>304</v>
      </c>
      <c r="AB163" s="5" t="s">
        <v>993</v>
      </c>
      <c r="AC163" s="5" t="s">
        <v>317</v>
      </c>
      <c r="AD163" s="5" t="s">
        <v>307</v>
      </c>
      <c r="AE163" s="5" t="s">
        <v>334</v>
      </c>
      <c r="AF163" s="5" t="s">
        <v>304</v>
      </c>
      <c r="AG163" s="5" t="s">
        <v>304</v>
      </c>
      <c r="AH163" s="5" t="s">
        <v>304</v>
      </c>
      <c r="AI163" s="5"/>
    </row>
    <row r="164" spans="1:35" ht="27.75" customHeight="1">
      <c r="A164" s="5">
        <v>162</v>
      </c>
      <c r="B164" s="5" t="s">
        <v>297</v>
      </c>
      <c r="C164" s="5" t="s">
        <v>994</v>
      </c>
      <c r="D164" s="5" t="s">
        <v>995</v>
      </c>
      <c r="E164" s="5">
        <v>24</v>
      </c>
      <c r="F164" s="5" t="s">
        <v>300</v>
      </c>
      <c r="G164" s="5" t="s">
        <v>301</v>
      </c>
      <c r="H164" s="5" t="s">
        <v>310</v>
      </c>
      <c r="I164" s="5" t="s">
        <v>311</v>
      </c>
      <c r="J164" s="5" t="s">
        <v>304</v>
      </c>
      <c r="K164" s="5" t="s">
        <v>304</v>
      </c>
      <c r="L164" s="5" t="s">
        <v>1007</v>
      </c>
      <c r="M164" s="5" t="s">
        <v>306</v>
      </c>
      <c r="N164" s="5" t="s">
        <v>928</v>
      </c>
      <c r="O164" s="5" t="s">
        <v>307</v>
      </c>
      <c r="P164" s="5" t="s">
        <v>304</v>
      </c>
      <c r="Q164" s="5" t="s">
        <v>301</v>
      </c>
      <c r="R164" s="5" t="s">
        <v>1008</v>
      </c>
      <c r="S164" s="5" t="s">
        <v>301</v>
      </c>
      <c r="T164" s="5" t="s">
        <v>1009</v>
      </c>
      <c r="U164" s="5" t="s">
        <v>1010</v>
      </c>
      <c r="V164" s="5" t="s">
        <v>862</v>
      </c>
      <c r="W164" s="5" t="s">
        <v>304</v>
      </c>
      <c r="X164" s="5" t="s">
        <v>307</v>
      </c>
      <c r="Y164" s="5" t="s">
        <v>304</v>
      </c>
      <c r="Z164" s="5" t="s">
        <v>304</v>
      </c>
      <c r="AA164" s="5" t="s">
        <v>304</v>
      </c>
      <c r="AB164" s="5" t="s">
        <v>993</v>
      </c>
      <c r="AC164" s="5" t="s">
        <v>327</v>
      </c>
      <c r="AD164" s="5" t="s">
        <v>301</v>
      </c>
      <c r="AE164" s="5" t="s">
        <v>334</v>
      </c>
      <c r="AF164" s="5" t="s">
        <v>304</v>
      </c>
      <c r="AG164" s="5" t="s">
        <v>304</v>
      </c>
      <c r="AH164" s="5" t="s">
        <v>304</v>
      </c>
      <c r="AI164" s="5"/>
    </row>
    <row r="165" spans="1:35" ht="27.75" customHeight="1">
      <c r="A165" s="5">
        <v>163</v>
      </c>
      <c r="B165" s="5" t="s">
        <v>297</v>
      </c>
      <c r="C165" s="5" t="s">
        <v>994</v>
      </c>
      <c r="D165" s="5" t="s">
        <v>995</v>
      </c>
      <c r="E165" s="5">
        <v>24</v>
      </c>
      <c r="F165" s="5" t="s">
        <v>300</v>
      </c>
      <c r="G165" s="5" t="s">
        <v>301</v>
      </c>
      <c r="H165" s="5" t="s">
        <v>302</v>
      </c>
      <c r="I165" s="5" t="s">
        <v>1004</v>
      </c>
      <c r="J165" s="5" t="s">
        <v>304</v>
      </c>
      <c r="K165" s="5" t="s">
        <v>304</v>
      </c>
      <c r="L165" s="5" t="s">
        <v>1011</v>
      </c>
      <c r="M165" s="5" t="s">
        <v>313</v>
      </c>
      <c r="N165" s="5" t="s">
        <v>304</v>
      </c>
      <c r="O165" s="5" t="s">
        <v>307</v>
      </c>
      <c r="P165" s="5" t="s">
        <v>304</v>
      </c>
      <c r="Q165" s="5" t="s">
        <v>304</v>
      </c>
      <c r="R165" s="5" t="s">
        <v>1012</v>
      </c>
      <c r="S165" s="5" t="s">
        <v>301</v>
      </c>
      <c r="T165" s="5" t="s">
        <v>1009</v>
      </c>
      <c r="U165" s="5" t="s">
        <v>304</v>
      </c>
      <c r="V165" s="5" t="s">
        <v>304</v>
      </c>
      <c r="W165" s="5" t="s">
        <v>304</v>
      </c>
      <c r="X165" s="5" t="s">
        <v>304</v>
      </c>
      <c r="Y165" s="5" t="s">
        <v>304</v>
      </c>
      <c r="Z165" s="5" t="s">
        <v>304</v>
      </c>
      <c r="AA165" s="5" t="s">
        <v>304</v>
      </c>
      <c r="AB165" s="5" t="s">
        <v>993</v>
      </c>
      <c r="AC165" s="5" t="s">
        <v>317</v>
      </c>
      <c r="AD165" s="5" t="s">
        <v>307</v>
      </c>
      <c r="AE165" s="5" t="s">
        <v>334</v>
      </c>
      <c r="AF165" s="5" t="s">
        <v>308</v>
      </c>
      <c r="AG165" s="5" t="s">
        <v>308</v>
      </c>
      <c r="AH165" s="5" t="s">
        <v>308</v>
      </c>
      <c r="AI165" s="5"/>
    </row>
    <row r="166" spans="1:35" ht="15" customHeight="1">
      <c r="A166" s="5">
        <v>164</v>
      </c>
      <c r="B166" s="5" t="s">
        <v>297</v>
      </c>
      <c r="C166" s="5" t="s">
        <v>994</v>
      </c>
      <c r="D166" s="5" t="s">
        <v>995</v>
      </c>
      <c r="E166" s="5">
        <v>45</v>
      </c>
      <c r="F166" s="5" t="s">
        <v>300</v>
      </c>
      <c r="G166" s="5" t="s">
        <v>301</v>
      </c>
      <c r="H166" s="5" t="s">
        <v>310</v>
      </c>
      <c r="I166" s="5" t="s">
        <v>1013</v>
      </c>
      <c r="J166" s="5" t="s">
        <v>1004</v>
      </c>
      <c r="K166" s="5" t="s">
        <v>301</v>
      </c>
      <c r="L166" s="5" t="s">
        <v>1014</v>
      </c>
      <c r="M166" s="5" t="s">
        <v>306</v>
      </c>
      <c r="N166" s="5" t="s">
        <v>304</v>
      </c>
      <c r="O166" s="5" t="s">
        <v>301</v>
      </c>
      <c r="P166" s="5" t="s">
        <v>304</v>
      </c>
      <c r="Q166" s="5" t="s">
        <v>307</v>
      </c>
      <c r="R166" s="5" t="s">
        <v>304</v>
      </c>
      <c r="S166" s="5" t="s">
        <v>307</v>
      </c>
      <c r="T166" s="5" t="s">
        <v>304</v>
      </c>
      <c r="U166" s="5" t="s">
        <v>304</v>
      </c>
      <c r="V166" s="5" t="s">
        <v>304</v>
      </c>
      <c r="W166" s="5" t="s">
        <v>304</v>
      </c>
      <c r="X166" s="5" t="s">
        <v>304</v>
      </c>
      <c r="Y166" s="5" t="s">
        <v>304</v>
      </c>
      <c r="Z166" s="5" t="s">
        <v>304</v>
      </c>
      <c r="AA166" s="5" t="s">
        <v>304</v>
      </c>
      <c r="AB166" s="5" t="s">
        <v>1015</v>
      </c>
      <c r="AC166" s="5" t="s">
        <v>327</v>
      </c>
      <c r="AD166" s="5" t="s">
        <v>301</v>
      </c>
      <c r="AE166" s="5" t="s">
        <v>334</v>
      </c>
      <c r="AF166" s="5" t="s">
        <v>304</v>
      </c>
      <c r="AG166" s="5" t="s">
        <v>304</v>
      </c>
      <c r="AH166" s="5" t="s">
        <v>304</v>
      </c>
      <c r="AI166" s="5"/>
    </row>
    <row r="167" spans="1:35" ht="27.75" customHeight="1">
      <c r="A167" s="5">
        <v>165</v>
      </c>
      <c r="B167" s="5" t="s">
        <v>297</v>
      </c>
      <c r="C167" s="5" t="s">
        <v>955</v>
      </c>
      <c r="D167" s="5" t="s">
        <v>337</v>
      </c>
      <c r="E167" s="5">
        <v>30</v>
      </c>
      <c r="F167" s="5" t="s">
        <v>300</v>
      </c>
      <c r="G167" s="5" t="s">
        <v>301</v>
      </c>
      <c r="H167" s="5" t="s">
        <v>303</v>
      </c>
      <c r="I167" s="5" t="s">
        <v>1013</v>
      </c>
      <c r="J167" s="5" t="s">
        <v>304</v>
      </c>
      <c r="K167" s="5" t="s">
        <v>304</v>
      </c>
      <c r="L167" s="5" t="s">
        <v>1016</v>
      </c>
      <c r="M167" s="5" t="s">
        <v>306</v>
      </c>
      <c r="N167" s="5" t="s">
        <v>304</v>
      </c>
      <c r="O167" s="5" t="s">
        <v>307</v>
      </c>
      <c r="P167" s="5" t="s">
        <v>304</v>
      </c>
      <c r="Q167" s="5" t="s">
        <v>307</v>
      </c>
      <c r="R167" s="5" t="s">
        <v>1017</v>
      </c>
      <c r="S167" s="5" t="s">
        <v>307</v>
      </c>
      <c r="T167" s="5" t="s">
        <v>304</v>
      </c>
      <c r="U167" s="5" t="s">
        <v>304</v>
      </c>
      <c r="V167" s="5" t="s">
        <v>304</v>
      </c>
      <c r="W167" s="5" t="s">
        <v>304</v>
      </c>
      <c r="X167" s="5" t="s">
        <v>307</v>
      </c>
      <c r="Y167" s="5" t="s">
        <v>304</v>
      </c>
      <c r="Z167" s="5" t="s">
        <v>304</v>
      </c>
      <c r="AA167" s="5" t="s">
        <v>304</v>
      </c>
      <c r="AB167" s="5" t="s">
        <v>1015</v>
      </c>
      <c r="AC167" s="5" t="s">
        <v>327</v>
      </c>
      <c r="AD167" s="5" t="s">
        <v>301</v>
      </c>
      <c r="AE167" s="5" t="s">
        <v>334</v>
      </c>
      <c r="AF167" s="5" t="s">
        <v>304</v>
      </c>
      <c r="AG167" s="5" t="s">
        <v>304</v>
      </c>
      <c r="AH167" s="5" t="s">
        <v>304</v>
      </c>
      <c r="AI167" s="5"/>
    </row>
    <row r="168" spans="1:35" ht="27.75" customHeight="1">
      <c r="A168" s="5">
        <v>166</v>
      </c>
      <c r="B168" s="5" t="s">
        <v>297</v>
      </c>
      <c r="C168" s="5" t="s">
        <v>955</v>
      </c>
      <c r="D168" s="5" t="s">
        <v>337</v>
      </c>
      <c r="E168" s="5">
        <v>52</v>
      </c>
      <c r="F168" s="5" t="s">
        <v>300</v>
      </c>
      <c r="G168" s="5" t="s">
        <v>307</v>
      </c>
      <c r="H168" s="5" t="s">
        <v>304</v>
      </c>
      <c r="I168" s="5" t="s">
        <v>304</v>
      </c>
      <c r="J168" s="5" t="s">
        <v>304</v>
      </c>
      <c r="K168" s="5" t="s">
        <v>301</v>
      </c>
      <c r="L168" s="5" t="s">
        <v>1018</v>
      </c>
      <c r="M168" s="5" t="s">
        <v>306</v>
      </c>
      <c r="N168" s="5" t="s">
        <v>304</v>
      </c>
      <c r="O168" s="5" t="s">
        <v>301</v>
      </c>
      <c r="P168" s="5" t="s">
        <v>304</v>
      </c>
      <c r="Q168" s="5" t="s">
        <v>307</v>
      </c>
      <c r="R168" s="5" t="s">
        <v>304</v>
      </c>
      <c r="S168" s="5" t="s">
        <v>307</v>
      </c>
      <c r="T168" s="5" t="s">
        <v>304</v>
      </c>
      <c r="U168" s="5" t="s">
        <v>304</v>
      </c>
      <c r="V168" s="5" t="s">
        <v>304</v>
      </c>
      <c r="W168" s="5" t="s">
        <v>304</v>
      </c>
      <c r="X168" s="5" t="s">
        <v>301</v>
      </c>
      <c r="Y168" s="5" t="s">
        <v>304</v>
      </c>
      <c r="Z168" s="5" t="s">
        <v>304</v>
      </c>
      <c r="AA168" s="5" t="s">
        <v>304</v>
      </c>
      <c r="AB168" s="5" t="s">
        <v>1019</v>
      </c>
      <c r="AC168" s="5" t="s">
        <v>327</v>
      </c>
      <c r="AD168" s="5" t="s">
        <v>307</v>
      </c>
      <c r="AE168" s="5" t="s">
        <v>334</v>
      </c>
      <c r="AF168" s="5" t="s">
        <v>304</v>
      </c>
      <c r="AG168" s="5" t="s">
        <v>304</v>
      </c>
      <c r="AH168" s="5" t="s">
        <v>304</v>
      </c>
      <c r="AI168" s="5"/>
    </row>
    <row r="169" spans="1:35" ht="15" customHeight="1">
      <c r="A169" s="5">
        <v>167</v>
      </c>
      <c r="B169" s="5" t="s">
        <v>297</v>
      </c>
      <c r="C169" s="5" t="s">
        <v>955</v>
      </c>
      <c r="D169" s="5" t="s">
        <v>337</v>
      </c>
      <c r="E169" s="5">
        <v>21</v>
      </c>
      <c r="F169" s="5" t="s">
        <v>300</v>
      </c>
      <c r="G169" s="5" t="s">
        <v>301</v>
      </c>
      <c r="H169" s="5" t="s">
        <v>821</v>
      </c>
      <c r="I169" s="5" t="s">
        <v>1020</v>
      </c>
      <c r="J169" s="5" t="s">
        <v>1021</v>
      </c>
      <c r="K169" s="5" t="s">
        <v>301</v>
      </c>
      <c r="L169" s="5" t="s">
        <v>304</v>
      </c>
      <c r="M169" s="5" t="s">
        <v>306</v>
      </c>
      <c r="N169" s="5" t="s">
        <v>304</v>
      </c>
      <c r="O169" s="5" t="s">
        <v>307</v>
      </c>
      <c r="P169" s="5" t="s">
        <v>304</v>
      </c>
      <c r="Q169" s="5" t="s">
        <v>301</v>
      </c>
      <c r="R169" s="5" t="s">
        <v>1022</v>
      </c>
      <c r="S169" s="5" t="s">
        <v>301</v>
      </c>
      <c r="T169" s="5" t="s">
        <v>304</v>
      </c>
      <c r="U169" s="5" t="s">
        <v>1023</v>
      </c>
      <c r="V169" s="5" t="s">
        <v>304</v>
      </c>
      <c r="W169" s="5" t="s">
        <v>304</v>
      </c>
      <c r="X169" s="5" t="s">
        <v>301</v>
      </c>
      <c r="Y169" s="5" t="s">
        <v>304</v>
      </c>
      <c r="Z169" s="5" t="s">
        <v>304</v>
      </c>
      <c r="AA169" s="5" t="s">
        <v>304</v>
      </c>
      <c r="AB169" s="5" t="s">
        <v>304</v>
      </c>
      <c r="AC169" s="5" t="s">
        <v>327</v>
      </c>
      <c r="AD169" s="5" t="s">
        <v>301</v>
      </c>
      <c r="AE169" s="5">
        <v>0</v>
      </c>
      <c r="AF169" s="5" t="s">
        <v>304</v>
      </c>
      <c r="AG169" s="5" t="s">
        <v>304</v>
      </c>
      <c r="AH169" s="5" t="s">
        <v>304</v>
      </c>
      <c r="AI169" s="5"/>
    </row>
    <row r="170" spans="1:35" ht="15" customHeight="1">
      <c r="A170" s="5">
        <v>168</v>
      </c>
      <c r="B170" s="5" t="s">
        <v>297</v>
      </c>
      <c r="C170" s="5" t="s">
        <v>994</v>
      </c>
      <c r="D170" s="5" t="s">
        <v>995</v>
      </c>
      <c r="E170" s="5">
        <v>35</v>
      </c>
      <c r="F170" s="5" t="s">
        <v>300</v>
      </c>
      <c r="G170" s="5" t="s">
        <v>301</v>
      </c>
      <c r="H170" s="5" t="s">
        <v>311</v>
      </c>
      <c r="I170" s="5" t="s">
        <v>304</v>
      </c>
      <c r="J170" s="5" t="s">
        <v>304</v>
      </c>
      <c r="K170" s="5" t="s">
        <v>301</v>
      </c>
      <c r="L170" s="5" t="s">
        <v>935</v>
      </c>
      <c r="M170" s="5" t="s">
        <v>306</v>
      </c>
      <c r="N170" s="5" t="s">
        <v>304</v>
      </c>
      <c r="O170" s="5" t="s">
        <v>307</v>
      </c>
      <c r="P170" s="5" t="s">
        <v>304</v>
      </c>
      <c r="Q170" s="5" t="s">
        <v>301</v>
      </c>
      <c r="R170" s="5" t="s">
        <v>935</v>
      </c>
      <c r="S170" s="5" t="s">
        <v>307</v>
      </c>
      <c r="T170" s="5" t="s">
        <v>304</v>
      </c>
      <c r="U170" s="5" t="s">
        <v>304</v>
      </c>
      <c r="V170" s="5" t="s">
        <v>304</v>
      </c>
      <c r="W170" s="5" t="s">
        <v>304</v>
      </c>
      <c r="X170" s="5" t="s">
        <v>307</v>
      </c>
      <c r="Y170" s="5" t="s">
        <v>304</v>
      </c>
      <c r="Z170" s="5" t="s">
        <v>304</v>
      </c>
      <c r="AA170" s="5" t="s">
        <v>304</v>
      </c>
      <c r="AB170" s="5" t="s">
        <v>304</v>
      </c>
      <c r="AC170" s="5" t="s">
        <v>327</v>
      </c>
      <c r="AD170" s="5" t="s">
        <v>307</v>
      </c>
      <c r="AE170" s="5" t="s">
        <v>334</v>
      </c>
      <c r="AF170" s="5" t="s">
        <v>304</v>
      </c>
      <c r="AG170" s="5" t="s">
        <v>304</v>
      </c>
      <c r="AH170" s="5" t="s">
        <v>304</v>
      </c>
      <c r="AI170" s="5"/>
    </row>
    <row r="171" spans="1:35" ht="15" customHeight="1">
      <c r="A171" s="5">
        <v>169</v>
      </c>
      <c r="B171" s="5" t="s">
        <v>297</v>
      </c>
      <c r="C171" s="5" t="s">
        <v>1024</v>
      </c>
      <c r="D171" s="5" t="s">
        <v>337</v>
      </c>
      <c r="E171" s="5"/>
      <c r="F171" s="5" t="s">
        <v>300</v>
      </c>
      <c r="G171" s="5" t="s">
        <v>301</v>
      </c>
      <c r="H171" s="5" t="s">
        <v>303</v>
      </c>
      <c r="I171" s="5" t="s">
        <v>304</v>
      </c>
      <c r="J171" s="5" t="s">
        <v>304</v>
      </c>
      <c r="K171" s="5" t="s">
        <v>301</v>
      </c>
      <c r="L171" s="5" t="s">
        <v>304</v>
      </c>
      <c r="M171" s="5" t="s">
        <v>306</v>
      </c>
      <c r="N171" s="5" t="s">
        <v>304</v>
      </c>
      <c r="O171" s="5" t="s">
        <v>307</v>
      </c>
      <c r="P171" s="5" t="s">
        <v>304</v>
      </c>
      <c r="Q171" s="5" t="s">
        <v>307</v>
      </c>
      <c r="R171" s="5" t="s">
        <v>304</v>
      </c>
      <c r="S171" s="5" t="s">
        <v>301</v>
      </c>
      <c r="T171" s="5" t="s">
        <v>1025</v>
      </c>
      <c r="U171" s="5" t="s">
        <v>304</v>
      </c>
      <c r="V171" s="5" t="s">
        <v>304</v>
      </c>
      <c r="W171" s="5" t="s">
        <v>304</v>
      </c>
      <c r="X171" s="5" t="s">
        <v>307</v>
      </c>
      <c r="Y171" s="5" t="s">
        <v>304</v>
      </c>
      <c r="Z171" s="5" t="s">
        <v>304</v>
      </c>
      <c r="AA171" s="5" t="s">
        <v>304</v>
      </c>
      <c r="AB171" s="5" t="s">
        <v>304</v>
      </c>
      <c r="AC171" s="5" t="s">
        <v>327</v>
      </c>
      <c r="AD171" s="5" t="s">
        <v>307</v>
      </c>
      <c r="AE171" s="5" t="s">
        <v>334</v>
      </c>
      <c r="AF171" s="5" t="s">
        <v>334</v>
      </c>
      <c r="AG171" s="5" t="s">
        <v>334</v>
      </c>
      <c r="AH171" s="5" t="s">
        <v>304</v>
      </c>
      <c r="AI171" s="5"/>
    </row>
    <row r="172" spans="1:35" ht="27.75" customHeight="1">
      <c r="A172" s="5">
        <v>170</v>
      </c>
      <c r="B172" s="5" t="s">
        <v>297</v>
      </c>
      <c r="C172" s="5" t="s">
        <v>994</v>
      </c>
      <c r="D172" s="5" t="s">
        <v>995</v>
      </c>
      <c r="E172" s="5" t="s">
        <v>1026</v>
      </c>
      <c r="F172" s="5" t="s">
        <v>300</v>
      </c>
      <c r="G172" s="5" t="s">
        <v>301</v>
      </c>
      <c r="H172" s="5" t="s">
        <v>328</v>
      </c>
      <c r="I172" s="5" t="s">
        <v>508</v>
      </c>
      <c r="J172" s="5" t="s">
        <v>304</v>
      </c>
      <c r="K172" s="5" t="s">
        <v>301</v>
      </c>
      <c r="L172" s="5" t="s">
        <v>304</v>
      </c>
      <c r="M172" s="5" t="s">
        <v>306</v>
      </c>
      <c r="N172" s="5" t="s">
        <v>1027</v>
      </c>
      <c r="O172" s="5" t="s">
        <v>307</v>
      </c>
      <c r="P172" s="5" t="s">
        <v>304</v>
      </c>
      <c r="Q172" s="5" t="s">
        <v>307</v>
      </c>
      <c r="R172" s="5" t="s">
        <v>304</v>
      </c>
      <c r="S172" s="5" t="s">
        <v>301</v>
      </c>
      <c r="T172" s="5" t="s">
        <v>1028</v>
      </c>
      <c r="U172" s="5" t="s">
        <v>304</v>
      </c>
      <c r="V172" s="5" t="s">
        <v>304</v>
      </c>
      <c r="W172" s="5" t="s">
        <v>304</v>
      </c>
      <c r="X172" s="5" t="s">
        <v>307</v>
      </c>
      <c r="Y172" s="5" t="s">
        <v>304</v>
      </c>
      <c r="Z172" s="5" t="s">
        <v>304</v>
      </c>
      <c r="AA172" s="5" t="s">
        <v>304</v>
      </c>
      <c r="AB172" s="5" t="s">
        <v>1029</v>
      </c>
      <c r="AC172" s="5" t="s">
        <v>327</v>
      </c>
      <c r="AD172" s="5" t="s">
        <v>301</v>
      </c>
      <c r="AE172" s="5" t="s">
        <v>334</v>
      </c>
      <c r="AF172" s="5" t="s">
        <v>304</v>
      </c>
      <c r="AG172" s="5" t="s">
        <v>304</v>
      </c>
      <c r="AH172" s="5" t="s">
        <v>304</v>
      </c>
      <c r="AI172" s="5"/>
    </row>
    <row r="173" spans="1:35" ht="15" customHeight="1">
      <c r="A173" s="5">
        <v>171</v>
      </c>
      <c r="B173" s="5" t="s">
        <v>297</v>
      </c>
      <c r="C173" s="5" t="s">
        <v>994</v>
      </c>
      <c r="D173" s="5" t="s">
        <v>995</v>
      </c>
      <c r="E173" s="5">
        <v>30</v>
      </c>
      <c r="F173" s="5" t="s">
        <v>300</v>
      </c>
      <c r="G173" s="5" t="s">
        <v>301</v>
      </c>
      <c r="H173" s="5" t="s">
        <v>951</v>
      </c>
      <c r="I173" s="5" t="s">
        <v>1030</v>
      </c>
      <c r="J173" s="5" t="s">
        <v>304</v>
      </c>
      <c r="K173" s="5" t="s">
        <v>301</v>
      </c>
      <c r="L173" s="5" t="s">
        <v>304</v>
      </c>
      <c r="M173" s="5" t="s">
        <v>306</v>
      </c>
      <c r="N173" s="5" t="s">
        <v>304</v>
      </c>
      <c r="O173" s="5" t="s">
        <v>301</v>
      </c>
      <c r="P173" s="5" t="s">
        <v>304</v>
      </c>
      <c r="Q173" s="5" t="s">
        <v>301</v>
      </c>
      <c r="R173" s="5" t="s">
        <v>304</v>
      </c>
      <c r="S173" s="5" t="s">
        <v>301</v>
      </c>
      <c r="T173" s="5" t="s">
        <v>304</v>
      </c>
      <c r="U173" s="5" t="s">
        <v>304</v>
      </c>
      <c r="V173" s="5" t="s">
        <v>304</v>
      </c>
      <c r="W173" s="5" t="s">
        <v>304</v>
      </c>
      <c r="X173" s="5" t="s">
        <v>307</v>
      </c>
      <c r="Y173" s="5" t="s">
        <v>304</v>
      </c>
      <c r="Z173" s="5" t="s">
        <v>304</v>
      </c>
      <c r="AA173" s="5" t="s">
        <v>304</v>
      </c>
      <c r="AB173" s="5" t="s">
        <v>304</v>
      </c>
      <c r="AC173" s="5" t="s">
        <v>327</v>
      </c>
      <c r="AD173" s="5" t="s">
        <v>301</v>
      </c>
      <c r="AE173" s="5" t="s">
        <v>334</v>
      </c>
      <c r="AF173" s="5" t="s">
        <v>334</v>
      </c>
      <c r="AG173" s="5" t="s">
        <v>304</v>
      </c>
      <c r="AH173" s="5" t="s">
        <v>304</v>
      </c>
      <c r="AI173" s="5"/>
    </row>
    <row r="174" spans="1:35" ht="27.75" customHeight="1">
      <c r="A174" s="5">
        <v>172</v>
      </c>
      <c r="B174" s="5" t="s">
        <v>297</v>
      </c>
      <c r="C174" s="5" t="s">
        <v>1024</v>
      </c>
      <c r="D174" s="5" t="s">
        <v>337</v>
      </c>
      <c r="E174" s="5">
        <v>22</v>
      </c>
      <c r="F174" s="5" t="s">
        <v>300</v>
      </c>
      <c r="G174" s="5" t="s">
        <v>301</v>
      </c>
      <c r="H174" s="5" t="s">
        <v>1031</v>
      </c>
      <c r="I174" s="5" t="s">
        <v>1032</v>
      </c>
      <c r="J174" s="5" t="s">
        <v>304</v>
      </c>
      <c r="K174" s="5" t="s">
        <v>1033</v>
      </c>
      <c r="L174" s="5" t="s">
        <v>1033</v>
      </c>
      <c r="M174" s="5" t="s">
        <v>306</v>
      </c>
      <c r="N174" s="5" t="s">
        <v>304</v>
      </c>
      <c r="O174" s="5" t="s">
        <v>307</v>
      </c>
      <c r="P174" s="5" t="s">
        <v>304</v>
      </c>
      <c r="Q174" s="5" t="s">
        <v>301</v>
      </c>
      <c r="R174" s="5" t="s">
        <v>304</v>
      </c>
      <c r="S174" s="5" t="s">
        <v>301</v>
      </c>
      <c r="T174" s="5" t="s">
        <v>1034</v>
      </c>
      <c r="U174" s="5" t="s">
        <v>1035</v>
      </c>
      <c r="V174" s="5" t="s">
        <v>1036</v>
      </c>
      <c r="W174" s="5" t="s">
        <v>304</v>
      </c>
      <c r="X174" s="5" t="s">
        <v>301</v>
      </c>
      <c r="Y174" s="5" t="s">
        <v>304</v>
      </c>
      <c r="Z174" s="5" t="s">
        <v>304</v>
      </c>
      <c r="AA174" s="5" t="s">
        <v>304</v>
      </c>
      <c r="AB174" s="5" t="s">
        <v>1037</v>
      </c>
      <c r="AC174" s="5" t="s">
        <v>371</v>
      </c>
      <c r="AD174" s="5" t="s">
        <v>301</v>
      </c>
      <c r="AE174" s="5" t="s">
        <v>1038</v>
      </c>
      <c r="AF174" s="5" t="s">
        <v>301</v>
      </c>
      <c r="AG174" s="5" t="s">
        <v>307</v>
      </c>
      <c r="AH174" s="5" t="s">
        <v>1039</v>
      </c>
      <c r="AI174" s="5"/>
    </row>
    <row r="175" spans="1:35" ht="27.75" customHeight="1">
      <c r="A175" s="5">
        <v>173</v>
      </c>
      <c r="B175" s="5" t="s">
        <v>297</v>
      </c>
      <c r="C175" s="5" t="s">
        <v>1024</v>
      </c>
      <c r="D175" s="5" t="s">
        <v>337</v>
      </c>
      <c r="E175" s="5">
        <v>36</v>
      </c>
      <c r="F175" s="5" t="s">
        <v>300</v>
      </c>
      <c r="G175" s="5" t="s">
        <v>301</v>
      </c>
      <c r="H175" s="5" t="s">
        <v>1040</v>
      </c>
      <c r="I175" s="5" t="s">
        <v>304</v>
      </c>
      <c r="J175" s="5" t="s">
        <v>304</v>
      </c>
      <c r="K175" s="5" t="s">
        <v>1041</v>
      </c>
      <c r="L175" s="5" t="s">
        <v>1041</v>
      </c>
      <c r="M175" s="5" t="s">
        <v>306</v>
      </c>
      <c r="N175" s="5" t="s">
        <v>1042</v>
      </c>
      <c r="O175" s="5" t="s">
        <v>301</v>
      </c>
      <c r="P175" s="5" t="s">
        <v>304</v>
      </c>
      <c r="Q175" s="5" t="s">
        <v>307</v>
      </c>
      <c r="R175" s="5" t="s">
        <v>1043</v>
      </c>
      <c r="S175" s="5" t="s">
        <v>307</v>
      </c>
      <c r="T175" s="5" t="s">
        <v>304</v>
      </c>
      <c r="U175" s="5" t="s">
        <v>304</v>
      </c>
      <c r="V175" s="5" t="s">
        <v>304</v>
      </c>
      <c r="W175" s="5" t="s">
        <v>304</v>
      </c>
      <c r="X175" s="5" t="s">
        <v>307</v>
      </c>
      <c r="Y175" s="5" t="s">
        <v>304</v>
      </c>
      <c r="Z175" s="5" t="s">
        <v>304</v>
      </c>
      <c r="AA175" s="5" t="s">
        <v>304</v>
      </c>
      <c r="AB175" s="5" t="s">
        <v>962</v>
      </c>
      <c r="AC175" s="5" t="s">
        <v>327</v>
      </c>
      <c r="AD175" s="5" t="s">
        <v>307</v>
      </c>
      <c r="AE175" s="5" t="s">
        <v>334</v>
      </c>
      <c r="AF175" s="5" t="s">
        <v>304</v>
      </c>
      <c r="AG175" s="5" t="s">
        <v>304</v>
      </c>
      <c r="AH175" s="5" t="s">
        <v>304</v>
      </c>
      <c r="AI175" s="5"/>
    </row>
    <row r="176" spans="1:35" ht="27.75" customHeight="1">
      <c r="A176" s="5">
        <v>174</v>
      </c>
      <c r="B176" s="5" t="s">
        <v>297</v>
      </c>
      <c r="C176" s="5" t="s">
        <v>1024</v>
      </c>
      <c r="D176" s="5" t="s">
        <v>337</v>
      </c>
      <c r="E176" s="5">
        <v>35</v>
      </c>
      <c r="F176" s="5" t="s">
        <v>300</v>
      </c>
      <c r="G176" s="5" t="s">
        <v>301</v>
      </c>
      <c r="H176" s="5" t="s">
        <v>1044</v>
      </c>
      <c r="I176" s="5" t="s">
        <v>1045</v>
      </c>
      <c r="J176" s="5" t="s">
        <v>1046</v>
      </c>
      <c r="K176" s="5" t="s">
        <v>301</v>
      </c>
      <c r="L176" s="5" t="s">
        <v>1047</v>
      </c>
      <c r="M176" s="5" t="s">
        <v>306</v>
      </c>
      <c r="N176" s="5" t="s">
        <v>1048</v>
      </c>
      <c r="O176" s="5" t="s">
        <v>307</v>
      </c>
      <c r="P176" s="5" t="s">
        <v>787</v>
      </c>
      <c r="Q176" s="5" t="s">
        <v>307</v>
      </c>
      <c r="R176" s="5" t="s">
        <v>1049</v>
      </c>
      <c r="S176" s="5" t="s">
        <v>307</v>
      </c>
      <c r="T176" s="5" t="s">
        <v>304</v>
      </c>
      <c r="U176" s="5" t="s">
        <v>304</v>
      </c>
      <c r="V176" s="5" t="s">
        <v>304</v>
      </c>
      <c r="W176" s="5" t="s">
        <v>304</v>
      </c>
      <c r="X176" s="5" t="s">
        <v>307</v>
      </c>
      <c r="Y176" s="5" t="s">
        <v>304</v>
      </c>
      <c r="Z176" s="5" t="s">
        <v>304</v>
      </c>
      <c r="AA176" s="5" t="s">
        <v>304</v>
      </c>
      <c r="AB176" s="5" t="s">
        <v>962</v>
      </c>
      <c r="AC176" s="5" t="s">
        <v>327</v>
      </c>
      <c r="AD176" s="5" t="s">
        <v>307</v>
      </c>
      <c r="AE176" s="5" t="s">
        <v>334</v>
      </c>
      <c r="AF176" s="5" t="s">
        <v>304</v>
      </c>
      <c r="AG176" s="5" t="s">
        <v>304</v>
      </c>
      <c r="AH176" s="5" t="s">
        <v>304</v>
      </c>
      <c r="AI176" s="5"/>
    </row>
    <row r="177" spans="1:35" ht="15" customHeight="1">
      <c r="A177" s="5">
        <v>175</v>
      </c>
      <c r="B177" s="5" t="s">
        <v>297</v>
      </c>
      <c r="C177" s="5" t="s">
        <v>1024</v>
      </c>
      <c r="D177" s="5" t="s">
        <v>337</v>
      </c>
      <c r="E177" s="5">
        <v>38</v>
      </c>
      <c r="F177" s="5" t="s">
        <v>300</v>
      </c>
      <c r="G177" s="5" t="s">
        <v>301</v>
      </c>
      <c r="H177" s="5" t="s">
        <v>951</v>
      </c>
      <c r="I177" s="5" t="s">
        <v>998</v>
      </c>
      <c r="J177" s="5" t="s">
        <v>1045</v>
      </c>
      <c r="K177" s="5" t="s">
        <v>383</v>
      </c>
      <c r="L177" s="5" t="s">
        <v>304</v>
      </c>
      <c r="M177" s="5" t="s">
        <v>843</v>
      </c>
      <c r="N177" s="5" t="s">
        <v>304</v>
      </c>
      <c r="O177" s="5" t="s">
        <v>307</v>
      </c>
      <c r="P177" s="5" t="s">
        <v>304</v>
      </c>
      <c r="Q177" s="5" t="s">
        <v>301</v>
      </c>
      <c r="R177" s="5" t="s">
        <v>1050</v>
      </c>
      <c r="S177" s="5" t="s">
        <v>307</v>
      </c>
      <c r="T177" s="5" t="s">
        <v>1051</v>
      </c>
      <c r="U177" s="6" t="s">
        <v>1052</v>
      </c>
      <c r="V177" s="5" t="s">
        <v>304</v>
      </c>
      <c r="W177" s="5" t="s">
        <v>304</v>
      </c>
      <c r="X177" s="5" t="s">
        <v>301</v>
      </c>
      <c r="Y177" s="5" t="s">
        <v>304</v>
      </c>
      <c r="Z177" s="5" t="s">
        <v>304</v>
      </c>
      <c r="AA177" s="5" t="s">
        <v>304</v>
      </c>
      <c r="AB177" s="5" t="s">
        <v>862</v>
      </c>
      <c r="AC177" s="5" t="s">
        <v>327</v>
      </c>
      <c r="AD177" s="5" t="s">
        <v>301</v>
      </c>
      <c r="AE177" s="5" t="s">
        <v>334</v>
      </c>
      <c r="AF177" s="5" t="s">
        <v>334</v>
      </c>
      <c r="AG177" s="5" t="s">
        <v>304</v>
      </c>
      <c r="AH177" s="5" t="s">
        <v>304</v>
      </c>
      <c r="AI177" s="5"/>
    </row>
    <row r="178" spans="1:35" ht="15" customHeight="1">
      <c r="A178" s="5">
        <v>176</v>
      </c>
      <c r="B178" s="5" t="s">
        <v>297</v>
      </c>
      <c r="C178" s="5" t="s">
        <v>1053</v>
      </c>
      <c r="D178" s="5" t="s">
        <v>337</v>
      </c>
      <c r="E178" s="5">
        <v>40</v>
      </c>
      <c r="F178" s="5" t="s">
        <v>300</v>
      </c>
      <c r="G178" s="5" t="s">
        <v>301</v>
      </c>
      <c r="H178" s="5" t="s">
        <v>1045</v>
      </c>
      <c r="I178" s="5" t="s">
        <v>951</v>
      </c>
      <c r="J178" s="5" t="s">
        <v>303</v>
      </c>
      <c r="K178" s="5" t="s">
        <v>301</v>
      </c>
      <c r="L178" s="5" t="s">
        <v>1054</v>
      </c>
      <c r="M178" s="5" t="s">
        <v>306</v>
      </c>
      <c r="N178" s="5" t="s">
        <v>304</v>
      </c>
      <c r="O178" s="5" t="s">
        <v>307</v>
      </c>
      <c r="P178" s="5" t="s">
        <v>304</v>
      </c>
      <c r="Q178" s="5" t="s">
        <v>301</v>
      </c>
      <c r="R178" s="5" t="s">
        <v>935</v>
      </c>
      <c r="S178" s="5" t="s">
        <v>307</v>
      </c>
      <c r="T178" s="5" t="s">
        <v>304</v>
      </c>
      <c r="U178" s="5" t="s">
        <v>304</v>
      </c>
      <c r="V178" s="5" t="s">
        <v>304</v>
      </c>
      <c r="W178" s="5" t="s">
        <v>787</v>
      </c>
      <c r="X178" s="5" t="s">
        <v>307</v>
      </c>
      <c r="Y178" s="5" t="s">
        <v>304</v>
      </c>
      <c r="Z178" s="5" t="s">
        <v>304</v>
      </c>
      <c r="AA178" s="5" t="s">
        <v>304</v>
      </c>
      <c r="AB178" s="5" t="s">
        <v>904</v>
      </c>
      <c r="AC178" s="5" t="s">
        <v>327</v>
      </c>
      <c r="AD178" s="5" t="s">
        <v>301</v>
      </c>
      <c r="AE178" s="5" t="s">
        <v>334</v>
      </c>
      <c r="AF178" s="5" t="s">
        <v>304</v>
      </c>
      <c r="AG178" s="5" t="s">
        <v>304</v>
      </c>
      <c r="AH178" s="5" t="s">
        <v>304</v>
      </c>
      <c r="AI178" s="5"/>
    </row>
    <row r="179" spans="1:35" ht="15" customHeight="1">
      <c r="A179" s="5">
        <v>177</v>
      </c>
      <c r="B179" s="5" t="s">
        <v>297</v>
      </c>
      <c r="C179" s="5" t="s">
        <v>932</v>
      </c>
      <c r="D179" s="5" t="s">
        <v>337</v>
      </c>
      <c r="E179" s="5">
        <v>20</v>
      </c>
      <c r="F179" s="5" t="s">
        <v>300</v>
      </c>
      <c r="G179" s="5" t="s">
        <v>307</v>
      </c>
      <c r="H179" s="5" t="s">
        <v>1055</v>
      </c>
      <c r="I179" s="5" t="s">
        <v>304</v>
      </c>
      <c r="J179" s="5" t="s">
        <v>304</v>
      </c>
      <c r="K179" s="5" t="s">
        <v>304</v>
      </c>
      <c r="L179" s="5" t="s">
        <v>1056</v>
      </c>
      <c r="M179" s="5" t="s">
        <v>306</v>
      </c>
      <c r="N179" s="5" t="s">
        <v>304</v>
      </c>
      <c r="O179" s="5" t="s">
        <v>307</v>
      </c>
      <c r="P179" s="5" t="s">
        <v>304</v>
      </c>
      <c r="Q179" s="5" t="s">
        <v>301</v>
      </c>
      <c r="R179" s="5" t="s">
        <v>1022</v>
      </c>
      <c r="S179" s="5" t="s">
        <v>301</v>
      </c>
      <c r="T179" s="5" t="s">
        <v>1034</v>
      </c>
      <c r="U179" s="5" t="s">
        <v>304</v>
      </c>
      <c r="V179" s="5" t="s">
        <v>304</v>
      </c>
      <c r="W179" s="5" t="s">
        <v>304</v>
      </c>
      <c r="X179" s="5" t="s">
        <v>307</v>
      </c>
      <c r="Y179" s="5" t="s">
        <v>304</v>
      </c>
      <c r="Z179" s="5" t="s">
        <v>304</v>
      </c>
      <c r="AA179" s="5" t="s">
        <v>304</v>
      </c>
      <c r="AB179" s="5" t="s">
        <v>304</v>
      </c>
      <c r="AC179" s="5" t="s">
        <v>904</v>
      </c>
      <c r="AD179" s="5" t="s">
        <v>301</v>
      </c>
      <c r="AE179" s="5" t="s">
        <v>304</v>
      </c>
      <c r="AF179" s="5" t="s">
        <v>304</v>
      </c>
      <c r="AG179" s="5" t="s">
        <v>304</v>
      </c>
      <c r="AH179" s="5" t="s">
        <v>304</v>
      </c>
      <c r="AI179" s="5"/>
    </row>
    <row r="180" spans="1:35" ht="54.75" customHeight="1">
      <c r="A180" s="5">
        <v>178</v>
      </c>
      <c r="B180" s="5" t="s">
        <v>297</v>
      </c>
      <c r="C180" s="5" t="s">
        <v>1053</v>
      </c>
      <c r="D180" s="5" t="s">
        <v>337</v>
      </c>
      <c r="E180" s="5">
        <v>25</v>
      </c>
      <c r="F180" s="5" t="s">
        <v>300</v>
      </c>
      <c r="G180" s="5" t="s">
        <v>301</v>
      </c>
      <c r="H180" s="5" t="s">
        <v>303</v>
      </c>
      <c r="I180" s="5" t="s">
        <v>304</v>
      </c>
      <c r="J180" s="5" t="s">
        <v>304</v>
      </c>
      <c r="K180" s="5" t="s">
        <v>301</v>
      </c>
      <c r="L180" s="5" t="s">
        <v>1057</v>
      </c>
      <c r="M180" s="5" t="s">
        <v>306</v>
      </c>
      <c r="N180" s="5" t="s">
        <v>304</v>
      </c>
      <c r="O180" s="5" t="s">
        <v>307</v>
      </c>
      <c r="P180" s="5" t="s">
        <v>304</v>
      </c>
      <c r="Q180" s="5" t="s">
        <v>307</v>
      </c>
      <c r="R180" s="5" t="s">
        <v>1058</v>
      </c>
      <c r="S180" s="5" t="s">
        <v>307</v>
      </c>
      <c r="T180" s="5" t="s">
        <v>304</v>
      </c>
      <c r="U180" s="5" t="s">
        <v>304</v>
      </c>
      <c r="V180" s="5" t="s">
        <v>304</v>
      </c>
      <c r="W180" s="5" t="s">
        <v>304</v>
      </c>
      <c r="X180" s="5" t="s">
        <v>307</v>
      </c>
      <c r="Y180" s="5" t="s">
        <v>304</v>
      </c>
      <c r="Z180" s="5" t="s">
        <v>304</v>
      </c>
      <c r="AA180" s="5" t="s">
        <v>304</v>
      </c>
      <c r="AB180" s="5" t="s">
        <v>1059</v>
      </c>
      <c r="AC180" s="5" t="s">
        <v>327</v>
      </c>
      <c r="AD180" s="5" t="s">
        <v>301</v>
      </c>
      <c r="AE180" s="5" t="s">
        <v>334</v>
      </c>
      <c r="AF180" s="5" t="s">
        <v>304</v>
      </c>
      <c r="AG180" s="5" t="s">
        <v>304</v>
      </c>
      <c r="AH180" s="5" t="s">
        <v>304</v>
      </c>
      <c r="AI180" s="5"/>
    </row>
    <row r="181" spans="1:35" ht="54.75" customHeight="1">
      <c r="A181" s="5">
        <v>179</v>
      </c>
      <c r="B181" s="5" t="s">
        <v>297</v>
      </c>
      <c r="C181" s="5" t="s">
        <v>1053</v>
      </c>
      <c r="D181" s="5" t="s">
        <v>337</v>
      </c>
      <c r="E181" s="5">
        <v>38</v>
      </c>
      <c r="F181" s="5" t="s">
        <v>300</v>
      </c>
      <c r="G181" s="5" t="s">
        <v>301</v>
      </c>
      <c r="H181" s="5" t="s">
        <v>1060</v>
      </c>
      <c r="I181" s="5" t="s">
        <v>1061</v>
      </c>
      <c r="J181" s="5" t="s">
        <v>304</v>
      </c>
      <c r="K181" s="5" t="s">
        <v>301</v>
      </c>
      <c r="L181" s="5" t="s">
        <v>1062</v>
      </c>
      <c r="M181" s="5" t="s">
        <v>306</v>
      </c>
      <c r="N181" s="5" t="s">
        <v>1063</v>
      </c>
      <c r="O181" s="5" t="s">
        <v>307</v>
      </c>
      <c r="P181" s="5" t="s">
        <v>304</v>
      </c>
      <c r="Q181" s="5" t="s">
        <v>301</v>
      </c>
      <c r="R181" s="5" t="s">
        <v>1064</v>
      </c>
      <c r="S181" s="5" t="s">
        <v>307</v>
      </c>
      <c r="T181" s="5" t="s">
        <v>304</v>
      </c>
      <c r="U181" s="5" t="s">
        <v>304</v>
      </c>
      <c r="V181" s="5" t="s">
        <v>304</v>
      </c>
      <c r="W181" s="5" t="s">
        <v>304</v>
      </c>
      <c r="X181" s="5" t="s">
        <v>301</v>
      </c>
      <c r="Y181" s="5" t="s">
        <v>304</v>
      </c>
      <c r="Z181" s="5" t="s">
        <v>304</v>
      </c>
      <c r="AA181" s="5" t="s">
        <v>304</v>
      </c>
      <c r="AB181" s="5" t="s">
        <v>1065</v>
      </c>
      <c r="AC181" s="5" t="s">
        <v>334</v>
      </c>
      <c r="AD181" s="5" t="s">
        <v>301</v>
      </c>
      <c r="AE181" s="5" t="s">
        <v>334</v>
      </c>
      <c r="AF181" s="5" t="s">
        <v>304</v>
      </c>
      <c r="AG181" s="5" t="s">
        <v>304</v>
      </c>
      <c r="AH181" s="5" t="s">
        <v>304</v>
      </c>
      <c r="AI181" s="5"/>
    </row>
    <row r="182" spans="1:35" ht="54.75" customHeight="1">
      <c r="A182" s="5">
        <v>180</v>
      </c>
      <c r="B182" s="5" t="s">
        <v>297</v>
      </c>
      <c r="C182" s="5" t="s">
        <v>1053</v>
      </c>
      <c r="D182" s="5" t="s">
        <v>337</v>
      </c>
      <c r="E182" s="5">
        <v>28</v>
      </c>
      <c r="F182" s="5" t="s">
        <v>300</v>
      </c>
      <c r="G182" s="5" t="s">
        <v>301</v>
      </c>
      <c r="H182" s="5" t="s">
        <v>883</v>
      </c>
      <c r="I182" s="5" t="s">
        <v>821</v>
      </c>
      <c r="J182" s="5" t="s">
        <v>304</v>
      </c>
      <c r="K182" s="5" t="s">
        <v>498</v>
      </c>
      <c r="L182" s="5" t="s">
        <v>304</v>
      </c>
      <c r="M182" s="5" t="s">
        <v>306</v>
      </c>
      <c r="N182" s="5" t="s">
        <v>1066</v>
      </c>
      <c r="O182" s="5" t="s">
        <v>301</v>
      </c>
      <c r="P182" s="5" t="s">
        <v>1067</v>
      </c>
      <c r="Q182" s="5" t="s">
        <v>301</v>
      </c>
      <c r="R182" s="5" t="s">
        <v>1068</v>
      </c>
      <c r="S182" s="5" t="s">
        <v>307</v>
      </c>
      <c r="T182" s="5" t="s">
        <v>304</v>
      </c>
      <c r="U182" s="5" t="s">
        <v>304</v>
      </c>
      <c r="V182" s="5" t="s">
        <v>304</v>
      </c>
      <c r="W182" s="5" t="s">
        <v>304</v>
      </c>
      <c r="X182" s="5" t="s">
        <v>301</v>
      </c>
      <c r="Y182" s="5" t="s">
        <v>304</v>
      </c>
      <c r="Z182" s="5" t="s">
        <v>304</v>
      </c>
      <c r="AA182" s="5" t="s">
        <v>304</v>
      </c>
      <c r="AB182" s="5" t="s">
        <v>1069</v>
      </c>
      <c r="AC182" s="5" t="s">
        <v>327</v>
      </c>
      <c r="AD182" s="5" t="s">
        <v>301</v>
      </c>
      <c r="AE182" s="5" t="s">
        <v>334</v>
      </c>
      <c r="AF182" s="5" t="s">
        <v>304</v>
      </c>
      <c r="AG182" s="5" t="s">
        <v>304</v>
      </c>
      <c r="AH182" s="5" t="s">
        <v>304</v>
      </c>
      <c r="AI182" s="5"/>
    </row>
    <row r="183" spans="1:35" ht="54.75" customHeight="1">
      <c r="A183" s="5">
        <v>181</v>
      </c>
      <c r="B183" s="5" t="s">
        <v>297</v>
      </c>
      <c r="C183" s="5" t="s">
        <v>1053</v>
      </c>
      <c r="D183" s="5" t="s">
        <v>337</v>
      </c>
      <c r="E183" s="5">
        <v>35</v>
      </c>
      <c r="F183" s="5" t="s">
        <v>300</v>
      </c>
      <c r="G183" s="5" t="s">
        <v>307</v>
      </c>
      <c r="H183" s="5" t="s">
        <v>304</v>
      </c>
      <c r="I183" s="5" t="s">
        <v>304</v>
      </c>
      <c r="J183" s="5" t="s">
        <v>304</v>
      </c>
      <c r="K183" s="5" t="s">
        <v>304</v>
      </c>
      <c r="L183" s="5" t="s">
        <v>1070</v>
      </c>
      <c r="M183" s="5" t="s">
        <v>306</v>
      </c>
      <c r="N183" s="5" t="s">
        <v>1071</v>
      </c>
      <c r="O183" s="5" t="s">
        <v>307</v>
      </c>
      <c r="P183" s="5" t="s">
        <v>304</v>
      </c>
      <c r="Q183" s="5" t="s">
        <v>304</v>
      </c>
      <c r="R183" s="5" t="s">
        <v>1072</v>
      </c>
      <c r="S183" s="5" t="s">
        <v>307</v>
      </c>
      <c r="T183" s="5" t="s">
        <v>304</v>
      </c>
      <c r="U183" s="5" t="s">
        <v>304</v>
      </c>
      <c r="V183" s="5" t="s">
        <v>304</v>
      </c>
      <c r="W183" s="5" t="s">
        <v>304</v>
      </c>
      <c r="X183" s="5" t="s">
        <v>301</v>
      </c>
      <c r="Y183" s="5" t="s">
        <v>304</v>
      </c>
      <c r="Z183" s="5" t="s">
        <v>304</v>
      </c>
      <c r="AA183" s="5" t="s">
        <v>304</v>
      </c>
      <c r="AB183" s="5" t="s">
        <v>1073</v>
      </c>
      <c r="AC183" s="5" t="s">
        <v>327</v>
      </c>
      <c r="AD183" s="5" t="s">
        <v>301</v>
      </c>
      <c r="AE183" s="5" t="s">
        <v>334</v>
      </c>
      <c r="AF183" s="5" t="s">
        <v>304</v>
      </c>
      <c r="AG183" s="5" t="s">
        <v>304</v>
      </c>
      <c r="AH183" s="5" t="s">
        <v>304</v>
      </c>
      <c r="AI183" s="5"/>
    </row>
    <row r="184" spans="1:35" ht="41.25" customHeight="1">
      <c r="A184" s="5">
        <v>182</v>
      </c>
      <c r="B184" s="5" t="s">
        <v>297</v>
      </c>
      <c r="C184" s="5" t="s">
        <v>1024</v>
      </c>
      <c r="D184" s="5" t="s">
        <v>337</v>
      </c>
      <c r="E184" s="5">
        <v>41</v>
      </c>
      <c r="F184" s="5" t="s">
        <v>300</v>
      </c>
      <c r="G184" s="5" t="s">
        <v>301</v>
      </c>
      <c r="H184" s="5" t="s">
        <v>303</v>
      </c>
      <c r="I184" s="5" t="s">
        <v>304</v>
      </c>
      <c r="J184" s="5" t="s">
        <v>304</v>
      </c>
      <c r="K184" s="5" t="s">
        <v>301</v>
      </c>
      <c r="L184" s="5" t="s">
        <v>303</v>
      </c>
      <c r="M184" s="5" t="s">
        <v>306</v>
      </c>
      <c r="N184" s="5" t="s">
        <v>304</v>
      </c>
      <c r="O184" s="5" t="s">
        <v>307</v>
      </c>
      <c r="P184" s="5" t="s">
        <v>304</v>
      </c>
      <c r="Q184" s="5" t="s">
        <v>307</v>
      </c>
      <c r="R184" s="5" t="s">
        <v>1074</v>
      </c>
      <c r="S184" s="5" t="s">
        <v>307</v>
      </c>
      <c r="T184" s="5" t="s">
        <v>304</v>
      </c>
      <c r="U184" s="5" t="s">
        <v>304</v>
      </c>
      <c r="V184" s="5" t="s">
        <v>304</v>
      </c>
      <c r="W184" s="5" t="s">
        <v>304</v>
      </c>
      <c r="X184" s="5" t="s">
        <v>307</v>
      </c>
      <c r="Y184" s="5" t="s">
        <v>304</v>
      </c>
      <c r="Z184" s="5" t="s">
        <v>304</v>
      </c>
      <c r="AA184" s="5" t="s">
        <v>304</v>
      </c>
      <c r="AB184" s="5" t="s">
        <v>1073</v>
      </c>
      <c r="AC184" s="5" t="s">
        <v>327</v>
      </c>
      <c r="AD184" s="5" t="s">
        <v>301</v>
      </c>
      <c r="AE184" s="5" t="s">
        <v>334</v>
      </c>
      <c r="AF184" s="5" t="s">
        <v>304</v>
      </c>
      <c r="AG184" s="5" t="s">
        <v>304</v>
      </c>
      <c r="AH184" s="5" t="s">
        <v>304</v>
      </c>
      <c r="AI184" s="5"/>
    </row>
    <row r="185" spans="1:35" ht="41.25" customHeight="1">
      <c r="A185" s="5">
        <v>183</v>
      </c>
      <c r="B185" s="5" t="s">
        <v>297</v>
      </c>
      <c r="C185" s="5" t="s">
        <v>1024</v>
      </c>
      <c r="D185" s="5" t="s">
        <v>337</v>
      </c>
      <c r="E185" s="5">
        <v>26</v>
      </c>
      <c r="F185" s="5" t="s">
        <v>300</v>
      </c>
      <c r="G185" s="5" t="s">
        <v>301</v>
      </c>
      <c r="H185" s="5" t="s">
        <v>1075</v>
      </c>
      <c r="I185" s="5" t="s">
        <v>304</v>
      </c>
      <c r="J185" s="5" t="s">
        <v>304</v>
      </c>
      <c r="K185" s="5" t="s">
        <v>301</v>
      </c>
      <c r="L185" s="5" t="s">
        <v>1076</v>
      </c>
      <c r="M185" s="5" t="s">
        <v>843</v>
      </c>
      <c r="N185" s="5" t="s">
        <v>1077</v>
      </c>
      <c r="O185" s="5" t="s">
        <v>307</v>
      </c>
      <c r="P185" s="5" t="s">
        <v>304</v>
      </c>
      <c r="Q185" s="5" t="s">
        <v>301</v>
      </c>
      <c r="R185" s="5" t="s">
        <v>1078</v>
      </c>
      <c r="S185" s="5" t="s">
        <v>301</v>
      </c>
      <c r="T185" s="5" t="s">
        <v>1079</v>
      </c>
      <c r="U185" s="5" t="s">
        <v>1080</v>
      </c>
      <c r="V185" s="5" t="s">
        <v>304</v>
      </c>
      <c r="W185" s="5" t="s">
        <v>304</v>
      </c>
      <c r="X185" s="5" t="s">
        <v>307</v>
      </c>
      <c r="Y185" s="5" t="s">
        <v>304</v>
      </c>
      <c r="Z185" s="5" t="s">
        <v>304</v>
      </c>
      <c r="AA185" s="5" t="s">
        <v>304</v>
      </c>
      <c r="AB185" s="5" t="s">
        <v>304</v>
      </c>
      <c r="AC185" s="5" t="s">
        <v>317</v>
      </c>
      <c r="AD185" s="5" t="s">
        <v>301</v>
      </c>
      <c r="AE185" s="5" t="s">
        <v>334</v>
      </c>
      <c r="AF185" s="5" t="s">
        <v>304</v>
      </c>
      <c r="AG185" s="5" t="s">
        <v>304</v>
      </c>
      <c r="AH185" s="5" t="s">
        <v>304</v>
      </c>
      <c r="AI185" s="5"/>
    </row>
    <row r="186" spans="1:35" ht="41.25" customHeight="1">
      <c r="A186" s="5">
        <v>184</v>
      </c>
      <c r="B186" s="5" t="s">
        <v>297</v>
      </c>
      <c r="C186" s="5" t="s">
        <v>1024</v>
      </c>
      <c r="D186" s="5" t="s">
        <v>337</v>
      </c>
      <c r="E186" s="5">
        <v>18</v>
      </c>
      <c r="F186" s="5" t="s">
        <v>300</v>
      </c>
      <c r="G186" s="5" t="s">
        <v>301</v>
      </c>
      <c r="H186" s="5" t="s">
        <v>303</v>
      </c>
      <c r="I186" s="5" t="s">
        <v>304</v>
      </c>
      <c r="J186" s="5" t="s">
        <v>304</v>
      </c>
      <c r="K186" s="5" t="s">
        <v>304</v>
      </c>
      <c r="L186" s="5" t="s">
        <v>1060</v>
      </c>
      <c r="M186" s="5" t="s">
        <v>306</v>
      </c>
      <c r="N186" s="5" t="s">
        <v>304</v>
      </c>
      <c r="O186" s="5" t="s">
        <v>307</v>
      </c>
      <c r="P186" s="5" t="s">
        <v>304</v>
      </c>
      <c r="Q186" s="5" t="s">
        <v>301</v>
      </c>
      <c r="R186" s="5" t="s">
        <v>1081</v>
      </c>
      <c r="S186" s="5" t="s">
        <v>301</v>
      </c>
      <c r="T186" s="5" t="s">
        <v>1082</v>
      </c>
      <c r="U186" s="5" t="s">
        <v>1083</v>
      </c>
      <c r="V186" s="5" t="s">
        <v>304</v>
      </c>
      <c r="W186" s="5" t="s">
        <v>304</v>
      </c>
      <c r="X186" s="5" t="s">
        <v>304</v>
      </c>
      <c r="Y186" s="5" t="s">
        <v>304</v>
      </c>
      <c r="Z186" s="5" t="s">
        <v>304</v>
      </c>
      <c r="AA186" s="5" t="s">
        <v>304</v>
      </c>
      <c r="AB186" s="5" t="s">
        <v>1084</v>
      </c>
      <c r="AC186" s="5" t="s">
        <v>327</v>
      </c>
      <c r="AD186" s="5" t="s">
        <v>307</v>
      </c>
      <c r="AE186" s="5" t="s">
        <v>334</v>
      </c>
      <c r="AF186" s="5" t="s">
        <v>304</v>
      </c>
      <c r="AG186" s="5" t="s">
        <v>304</v>
      </c>
      <c r="AH186" s="5" t="s">
        <v>304</v>
      </c>
      <c r="AI186" s="5"/>
    </row>
    <row r="187" spans="1:35" ht="15" customHeight="1">
      <c r="A187" s="5">
        <v>185</v>
      </c>
      <c r="B187" s="5" t="s">
        <v>297</v>
      </c>
      <c r="C187" s="5" t="s">
        <v>1024</v>
      </c>
      <c r="D187" s="5" t="s">
        <v>337</v>
      </c>
      <c r="E187" s="5">
        <v>31</v>
      </c>
      <c r="F187" s="5" t="s">
        <v>300</v>
      </c>
      <c r="G187" s="5" t="s">
        <v>301</v>
      </c>
      <c r="H187" s="5" t="s">
        <v>328</v>
      </c>
      <c r="I187" s="5" t="s">
        <v>303</v>
      </c>
      <c r="J187" s="5" t="s">
        <v>304</v>
      </c>
      <c r="K187" s="5" t="s">
        <v>301</v>
      </c>
      <c r="L187" s="5" t="s">
        <v>1060</v>
      </c>
      <c r="M187" s="5" t="s">
        <v>306</v>
      </c>
      <c r="N187" s="5" t="s">
        <v>304</v>
      </c>
      <c r="O187" s="5" t="s">
        <v>307</v>
      </c>
      <c r="P187" s="5" t="s">
        <v>304</v>
      </c>
      <c r="Q187" s="5" t="s">
        <v>301</v>
      </c>
      <c r="R187" s="5" t="s">
        <v>1085</v>
      </c>
      <c r="S187" s="5" t="s">
        <v>301</v>
      </c>
      <c r="T187" s="5" t="s">
        <v>304</v>
      </c>
      <c r="U187" s="5" t="s">
        <v>304</v>
      </c>
      <c r="V187" s="5" t="s">
        <v>304</v>
      </c>
      <c r="W187" s="5" t="s">
        <v>304</v>
      </c>
      <c r="X187" s="5" t="s">
        <v>307</v>
      </c>
      <c r="Y187" s="5" t="s">
        <v>304</v>
      </c>
      <c r="Z187" s="5" t="s">
        <v>304</v>
      </c>
      <c r="AA187" s="5" t="s">
        <v>304</v>
      </c>
      <c r="AB187" s="5" t="s">
        <v>1086</v>
      </c>
      <c r="AC187" s="5" t="s">
        <v>327</v>
      </c>
      <c r="AD187" s="5" t="s">
        <v>307</v>
      </c>
      <c r="AE187" s="5" t="s">
        <v>334</v>
      </c>
      <c r="AF187" s="5" t="s">
        <v>304</v>
      </c>
      <c r="AG187" s="5" t="s">
        <v>304</v>
      </c>
      <c r="AH187" s="5" t="s">
        <v>304</v>
      </c>
      <c r="AI187" s="5"/>
    </row>
    <row r="188" spans="1:35" ht="27.75" customHeight="1">
      <c r="A188" s="5">
        <v>186</v>
      </c>
      <c r="B188" s="5" t="s">
        <v>297</v>
      </c>
      <c r="C188" s="5" t="s">
        <v>932</v>
      </c>
      <c r="D188" s="5" t="s">
        <v>337</v>
      </c>
      <c r="E188" s="5">
        <v>23</v>
      </c>
      <c r="F188" s="5" t="s">
        <v>300</v>
      </c>
      <c r="G188" s="5" t="s">
        <v>301</v>
      </c>
      <c r="H188" s="5" t="s">
        <v>328</v>
      </c>
      <c r="I188" s="5" t="s">
        <v>304</v>
      </c>
      <c r="J188" s="5" t="s">
        <v>304</v>
      </c>
      <c r="K188" s="5" t="s">
        <v>301</v>
      </c>
      <c r="L188" s="5" t="s">
        <v>1060</v>
      </c>
      <c r="M188" s="5" t="s">
        <v>306</v>
      </c>
      <c r="N188" s="5" t="s">
        <v>304</v>
      </c>
      <c r="O188" s="5" t="s">
        <v>307</v>
      </c>
      <c r="P188" s="5" t="s">
        <v>304</v>
      </c>
      <c r="Q188" s="5" t="s">
        <v>307</v>
      </c>
      <c r="R188" s="5" t="s">
        <v>1087</v>
      </c>
      <c r="S188" s="5" t="s">
        <v>301</v>
      </c>
      <c r="T188" s="5" t="s">
        <v>1088</v>
      </c>
      <c r="U188" s="5" t="s">
        <v>304</v>
      </c>
      <c r="V188" s="5" t="s">
        <v>304</v>
      </c>
      <c r="W188" s="5" t="s">
        <v>304</v>
      </c>
      <c r="X188" s="5" t="s">
        <v>301</v>
      </c>
      <c r="Y188" s="5" t="s">
        <v>304</v>
      </c>
      <c r="Z188" s="5" t="s">
        <v>304</v>
      </c>
      <c r="AA188" s="5" t="s">
        <v>304</v>
      </c>
      <c r="AB188" s="5" t="s">
        <v>1089</v>
      </c>
      <c r="AC188" s="5" t="s">
        <v>327</v>
      </c>
      <c r="AD188" s="5" t="s">
        <v>307</v>
      </c>
      <c r="AE188" s="5" t="s">
        <v>334</v>
      </c>
      <c r="AF188" s="5" t="s">
        <v>304</v>
      </c>
      <c r="AG188" s="5" t="s">
        <v>304</v>
      </c>
      <c r="AH188" s="5" t="s">
        <v>304</v>
      </c>
      <c r="AI188" s="5"/>
    </row>
    <row r="189" spans="1:35" ht="41.25" customHeight="1">
      <c r="A189" s="5">
        <v>187</v>
      </c>
      <c r="B189" s="5" t="s">
        <v>297</v>
      </c>
      <c r="C189" s="5" t="s">
        <v>1090</v>
      </c>
      <c r="D189" s="5" t="s">
        <v>337</v>
      </c>
      <c r="E189" s="5">
        <v>30</v>
      </c>
      <c r="F189" s="5" t="s">
        <v>300</v>
      </c>
      <c r="G189" s="5" t="s">
        <v>301</v>
      </c>
      <c r="H189" s="5" t="s">
        <v>328</v>
      </c>
      <c r="I189" s="5" t="s">
        <v>572</v>
      </c>
      <c r="J189" s="5" t="s">
        <v>304</v>
      </c>
      <c r="K189" s="5" t="s">
        <v>301</v>
      </c>
      <c r="L189" s="5" t="s">
        <v>1091</v>
      </c>
      <c r="M189" s="5" t="s">
        <v>843</v>
      </c>
      <c r="N189" s="5" t="s">
        <v>1092</v>
      </c>
      <c r="O189" s="5" t="s">
        <v>307</v>
      </c>
      <c r="P189" s="5" t="s">
        <v>304</v>
      </c>
      <c r="Q189" s="5" t="s">
        <v>301</v>
      </c>
      <c r="R189" s="5" t="s">
        <v>1085</v>
      </c>
      <c r="S189" s="5" t="s">
        <v>301</v>
      </c>
      <c r="T189" s="5" t="s">
        <v>1093</v>
      </c>
      <c r="U189" s="5" t="s">
        <v>1094</v>
      </c>
      <c r="V189" s="5" t="s">
        <v>304</v>
      </c>
      <c r="W189" s="5" t="s">
        <v>304</v>
      </c>
      <c r="X189" s="5" t="s">
        <v>301</v>
      </c>
      <c r="Y189" s="5" t="s">
        <v>304</v>
      </c>
      <c r="Z189" s="5" t="s">
        <v>304</v>
      </c>
      <c r="AA189" s="5" t="s">
        <v>304</v>
      </c>
      <c r="AB189" s="5" t="s">
        <v>1095</v>
      </c>
      <c r="AC189" s="5" t="s">
        <v>819</v>
      </c>
      <c r="AD189" s="5" t="s">
        <v>301</v>
      </c>
      <c r="AE189" s="5" t="s">
        <v>304</v>
      </c>
      <c r="AF189" s="5" t="s">
        <v>304</v>
      </c>
      <c r="AG189" s="5" t="s">
        <v>304</v>
      </c>
      <c r="AH189" s="5"/>
      <c r="AI189" s="5"/>
    </row>
    <row r="190" spans="1:35" ht="27.75" customHeight="1">
      <c r="A190" s="5">
        <v>188</v>
      </c>
      <c r="B190" s="5" t="s">
        <v>297</v>
      </c>
      <c r="C190" s="5" t="s">
        <v>1090</v>
      </c>
      <c r="D190" s="5" t="s">
        <v>337</v>
      </c>
      <c r="E190" s="5">
        <v>22</v>
      </c>
      <c r="F190" s="5" t="s">
        <v>300</v>
      </c>
      <c r="G190" s="5" t="s">
        <v>301</v>
      </c>
      <c r="H190" s="5" t="s">
        <v>303</v>
      </c>
      <c r="I190" s="5" t="s">
        <v>328</v>
      </c>
      <c r="J190" s="5" t="s">
        <v>304</v>
      </c>
      <c r="K190" s="5" t="s">
        <v>304</v>
      </c>
      <c r="L190" s="5" t="s">
        <v>304</v>
      </c>
      <c r="M190" s="5" t="s">
        <v>843</v>
      </c>
      <c r="N190" s="5" t="s">
        <v>304</v>
      </c>
      <c r="O190" s="5" t="s">
        <v>307</v>
      </c>
      <c r="P190" s="5" t="s">
        <v>304</v>
      </c>
      <c r="Q190" s="5" t="s">
        <v>301</v>
      </c>
      <c r="R190" s="5" t="s">
        <v>1096</v>
      </c>
      <c r="S190" s="5" t="s">
        <v>301</v>
      </c>
      <c r="T190" s="5" t="s">
        <v>1097</v>
      </c>
      <c r="U190" s="5" t="s">
        <v>304</v>
      </c>
      <c r="V190" s="5" t="s">
        <v>304</v>
      </c>
      <c r="W190" s="5" t="s">
        <v>304</v>
      </c>
      <c r="X190" s="5" t="s">
        <v>307</v>
      </c>
      <c r="Y190" s="5" t="s">
        <v>304</v>
      </c>
      <c r="Z190" s="5" t="s">
        <v>304</v>
      </c>
      <c r="AA190" s="5" t="s">
        <v>304</v>
      </c>
      <c r="AB190" s="5" t="s">
        <v>304</v>
      </c>
      <c r="AC190" s="5" t="s">
        <v>327</v>
      </c>
      <c r="AD190" s="5" t="s">
        <v>301</v>
      </c>
      <c r="AE190" s="5" t="s">
        <v>334</v>
      </c>
      <c r="AF190" s="5" t="s">
        <v>304</v>
      </c>
      <c r="AG190" s="5" t="s">
        <v>304</v>
      </c>
      <c r="AH190" s="5" t="s">
        <v>304</v>
      </c>
      <c r="AI190" s="5"/>
    </row>
    <row r="191" spans="1:35" ht="15" customHeight="1">
      <c r="A191" s="5">
        <v>189</v>
      </c>
      <c r="B191" s="5" t="s">
        <v>297</v>
      </c>
      <c r="C191" s="5" t="s">
        <v>1090</v>
      </c>
      <c r="D191" s="5" t="s">
        <v>337</v>
      </c>
      <c r="E191" s="5">
        <v>20</v>
      </c>
      <c r="F191" s="5" t="s">
        <v>300</v>
      </c>
      <c r="G191" s="5" t="s">
        <v>301</v>
      </c>
      <c r="H191" s="5" t="s">
        <v>303</v>
      </c>
      <c r="I191" s="5" t="s">
        <v>304</v>
      </c>
      <c r="J191" s="5" t="s">
        <v>304</v>
      </c>
      <c r="K191" s="5" t="s">
        <v>304</v>
      </c>
      <c r="L191" s="5" t="s">
        <v>304</v>
      </c>
      <c r="M191" s="5" t="s">
        <v>843</v>
      </c>
      <c r="N191" s="5" t="s">
        <v>304</v>
      </c>
      <c r="O191" s="5" t="s">
        <v>307</v>
      </c>
      <c r="P191" s="5" t="s">
        <v>304</v>
      </c>
      <c r="Q191" s="5" t="s">
        <v>307</v>
      </c>
      <c r="R191" s="5" t="s">
        <v>1098</v>
      </c>
      <c r="S191" s="5" t="s">
        <v>301</v>
      </c>
      <c r="T191" s="5" t="s">
        <v>1099</v>
      </c>
      <c r="U191" s="5" t="s">
        <v>304</v>
      </c>
      <c r="V191" s="5" t="s">
        <v>304</v>
      </c>
      <c r="W191" s="5" t="s">
        <v>304</v>
      </c>
      <c r="X191" s="5" t="s">
        <v>307</v>
      </c>
      <c r="Y191" s="5" t="s">
        <v>304</v>
      </c>
      <c r="Z191" s="5" t="s">
        <v>304</v>
      </c>
      <c r="AA191" s="5" t="s">
        <v>304</v>
      </c>
      <c r="AB191" s="5" t="s">
        <v>304</v>
      </c>
      <c r="AC191" s="5" t="s">
        <v>327</v>
      </c>
      <c r="AD191" s="5" t="s">
        <v>307</v>
      </c>
      <c r="AE191" s="5" t="s">
        <v>334</v>
      </c>
      <c r="AF191" s="5" t="s">
        <v>304</v>
      </c>
      <c r="AG191" s="5" t="s">
        <v>304</v>
      </c>
      <c r="AH191" s="5" t="s">
        <v>304</v>
      </c>
      <c r="AI191" s="5"/>
    </row>
    <row r="192" spans="1:35" ht="68.25" customHeight="1">
      <c r="A192" s="5">
        <v>190</v>
      </c>
      <c r="B192" s="5" t="s">
        <v>297</v>
      </c>
      <c r="C192" s="5" t="s">
        <v>1100</v>
      </c>
      <c r="D192" s="5" t="s">
        <v>299</v>
      </c>
      <c r="E192" s="5">
        <v>30</v>
      </c>
      <c r="F192" s="5" t="s">
        <v>300</v>
      </c>
      <c r="G192" s="5" t="s">
        <v>301</v>
      </c>
      <c r="H192" s="5" t="s">
        <v>1101</v>
      </c>
      <c r="I192" s="5" t="s">
        <v>1102</v>
      </c>
      <c r="J192" s="5" t="s">
        <v>1103</v>
      </c>
      <c r="K192" s="5" t="s">
        <v>301</v>
      </c>
      <c r="L192" s="5" t="s">
        <v>304</v>
      </c>
      <c r="M192" s="5" t="s">
        <v>306</v>
      </c>
      <c r="N192" s="5" t="s">
        <v>304</v>
      </c>
      <c r="O192" s="5" t="s">
        <v>301</v>
      </c>
      <c r="P192" s="5" t="s">
        <v>304</v>
      </c>
      <c r="Q192" s="5" t="s">
        <v>301</v>
      </c>
      <c r="R192" s="5" t="s">
        <v>1104</v>
      </c>
      <c r="S192" s="5" t="s">
        <v>307</v>
      </c>
      <c r="T192" s="5" t="s">
        <v>304</v>
      </c>
      <c r="U192" s="5" t="s">
        <v>304</v>
      </c>
      <c r="V192" s="5" t="s">
        <v>304</v>
      </c>
      <c r="W192" s="5" t="s">
        <v>304</v>
      </c>
      <c r="X192" s="5" t="s">
        <v>307</v>
      </c>
      <c r="Y192" s="5" t="s">
        <v>304</v>
      </c>
      <c r="Z192" s="5" t="s">
        <v>304</v>
      </c>
      <c r="AA192" s="5" t="s">
        <v>304</v>
      </c>
      <c r="AB192" s="5" t="s">
        <v>1105</v>
      </c>
      <c r="AC192" s="5" t="s">
        <v>327</v>
      </c>
      <c r="AD192" s="5" t="s">
        <v>301</v>
      </c>
      <c r="AE192" s="5">
        <v>0</v>
      </c>
      <c r="AF192" s="5" t="s">
        <v>304</v>
      </c>
      <c r="AG192" s="5" t="s">
        <v>307</v>
      </c>
      <c r="AH192" s="5" t="s">
        <v>1106</v>
      </c>
      <c r="AI192" s="5"/>
    </row>
    <row r="193" spans="1:35" ht="81.75" customHeight="1">
      <c r="A193" s="5">
        <v>191</v>
      </c>
      <c r="B193" s="5" t="s">
        <v>297</v>
      </c>
      <c r="C193" s="5" t="s">
        <v>893</v>
      </c>
      <c r="D193" s="5" t="s">
        <v>488</v>
      </c>
      <c r="E193" s="5">
        <v>58</v>
      </c>
      <c r="F193" s="5" t="s">
        <v>300</v>
      </c>
      <c r="G193" s="5" t="s">
        <v>301</v>
      </c>
      <c r="H193" s="5" t="s">
        <v>1107</v>
      </c>
      <c r="I193" s="5" t="s">
        <v>1108</v>
      </c>
      <c r="J193" s="5" t="s">
        <v>304</v>
      </c>
      <c r="K193" s="5" t="s">
        <v>301</v>
      </c>
      <c r="L193" s="5" t="s">
        <v>304</v>
      </c>
      <c r="M193" s="5" t="s">
        <v>306</v>
      </c>
      <c r="N193" s="5" t="s">
        <v>304</v>
      </c>
      <c r="O193" s="5" t="s">
        <v>301</v>
      </c>
      <c r="P193" s="5" t="s">
        <v>304</v>
      </c>
      <c r="Q193" s="5" t="s">
        <v>301</v>
      </c>
      <c r="R193" s="5" t="s">
        <v>304</v>
      </c>
      <c r="S193" s="5" t="s">
        <v>1109</v>
      </c>
      <c r="T193" s="5" t="s">
        <v>1110</v>
      </c>
      <c r="U193" s="5" t="s">
        <v>1111</v>
      </c>
      <c r="V193" s="5" t="s">
        <v>304</v>
      </c>
      <c r="W193" s="5" t="s">
        <v>304</v>
      </c>
      <c r="X193" s="5" t="s">
        <v>304</v>
      </c>
      <c r="Y193" s="5" t="s">
        <v>304</v>
      </c>
      <c r="Z193" s="5" t="s">
        <v>304</v>
      </c>
      <c r="AA193" s="5" t="s">
        <v>304</v>
      </c>
      <c r="AB193" s="5" t="s">
        <v>1112</v>
      </c>
      <c r="AC193" s="5" t="s">
        <v>371</v>
      </c>
      <c r="AD193" s="5" t="s">
        <v>301</v>
      </c>
      <c r="AE193" s="5">
        <v>0</v>
      </c>
      <c r="AF193" s="5" t="s">
        <v>576</v>
      </c>
      <c r="AG193" s="5" t="s">
        <v>307</v>
      </c>
      <c r="AH193" s="5" t="s">
        <v>1113</v>
      </c>
      <c r="AI193" s="5"/>
    </row>
    <row r="194" spans="1:35" ht="27.75" customHeight="1">
      <c r="A194" s="5">
        <v>192</v>
      </c>
      <c r="B194" s="5" t="s">
        <v>297</v>
      </c>
      <c r="C194" s="5" t="s">
        <v>342</v>
      </c>
      <c r="D194" s="5" t="s">
        <v>299</v>
      </c>
      <c r="E194" s="5">
        <v>35</v>
      </c>
      <c r="F194" s="5" t="s">
        <v>300</v>
      </c>
      <c r="G194" s="5" t="s">
        <v>304</v>
      </c>
      <c r="H194" s="5" t="s">
        <v>304</v>
      </c>
      <c r="I194" s="5" t="s">
        <v>304</v>
      </c>
      <c r="J194" s="5" t="s">
        <v>304</v>
      </c>
      <c r="K194" s="5" t="s">
        <v>307</v>
      </c>
      <c r="L194" s="5" t="s">
        <v>304</v>
      </c>
      <c r="M194" s="5" t="s">
        <v>843</v>
      </c>
      <c r="N194" s="5" t="s">
        <v>304</v>
      </c>
      <c r="O194" s="5" t="s">
        <v>307</v>
      </c>
      <c r="P194" s="5" t="s">
        <v>304</v>
      </c>
      <c r="Q194" s="5" t="s">
        <v>307</v>
      </c>
      <c r="R194" s="5" t="s">
        <v>304</v>
      </c>
      <c r="S194" s="5" t="s">
        <v>301</v>
      </c>
      <c r="T194" s="5" t="s">
        <v>1114</v>
      </c>
      <c r="U194" s="5" t="s">
        <v>304</v>
      </c>
      <c r="V194" s="5" t="s">
        <v>304</v>
      </c>
      <c r="W194" s="5" t="s">
        <v>304</v>
      </c>
      <c r="X194" s="5" t="s">
        <v>301</v>
      </c>
      <c r="Y194" s="5" t="s">
        <v>304</v>
      </c>
      <c r="Z194" s="5" t="s">
        <v>304</v>
      </c>
      <c r="AA194" s="5" t="s">
        <v>304</v>
      </c>
      <c r="AB194" s="5" t="s">
        <v>1115</v>
      </c>
      <c r="AC194" s="5" t="s">
        <v>317</v>
      </c>
      <c r="AD194" s="5" t="s">
        <v>307</v>
      </c>
      <c r="AE194" s="5">
        <v>0</v>
      </c>
      <c r="AF194" s="5" t="s">
        <v>304</v>
      </c>
      <c r="AG194" s="5" t="s">
        <v>304</v>
      </c>
      <c r="AH194" s="5" t="s">
        <v>1116</v>
      </c>
      <c r="AI194" s="5"/>
    </row>
    <row r="195" spans="1:35" ht="41.25" customHeight="1">
      <c r="A195" s="5">
        <v>193</v>
      </c>
      <c r="B195" s="5" t="s">
        <v>297</v>
      </c>
      <c r="C195" s="5" t="s">
        <v>1117</v>
      </c>
      <c r="D195" s="5" t="s">
        <v>488</v>
      </c>
      <c r="E195" s="5">
        <v>35</v>
      </c>
      <c r="F195" s="5" t="s">
        <v>300</v>
      </c>
      <c r="G195" s="5" t="s">
        <v>307</v>
      </c>
      <c r="H195" s="5" t="s">
        <v>304</v>
      </c>
      <c r="I195" s="5" t="s">
        <v>304</v>
      </c>
      <c r="J195" s="5" t="s">
        <v>304</v>
      </c>
      <c r="K195" s="5" t="s">
        <v>304</v>
      </c>
      <c r="L195" s="5" t="s">
        <v>304</v>
      </c>
      <c r="M195" s="5" t="s">
        <v>313</v>
      </c>
      <c r="N195" s="5" t="s">
        <v>304</v>
      </c>
      <c r="O195" s="5" t="s">
        <v>304</v>
      </c>
      <c r="P195" s="5" t="s">
        <v>304</v>
      </c>
      <c r="Q195" s="5" t="s">
        <v>304</v>
      </c>
      <c r="R195" s="5" t="s">
        <v>1118</v>
      </c>
      <c r="S195" s="5" t="s">
        <v>307</v>
      </c>
      <c r="T195" s="5" t="s">
        <v>304</v>
      </c>
      <c r="U195" s="5" t="s">
        <v>304</v>
      </c>
      <c r="V195" s="5" t="s">
        <v>304</v>
      </c>
      <c r="W195" s="5" t="s">
        <v>304</v>
      </c>
      <c r="X195" s="5" t="s">
        <v>304</v>
      </c>
      <c r="Y195" s="5" t="s">
        <v>304</v>
      </c>
      <c r="Z195" s="5" t="s">
        <v>304</v>
      </c>
      <c r="AA195" s="5" t="s">
        <v>304</v>
      </c>
      <c r="AB195" s="5" t="s">
        <v>1119</v>
      </c>
      <c r="AC195" s="5" t="s">
        <v>327</v>
      </c>
      <c r="AD195" s="5" t="s">
        <v>307</v>
      </c>
      <c r="AE195" s="5" t="s">
        <v>1120</v>
      </c>
      <c r="AF195" s="5" t="s">
        <v>1121</v>
      </c>
      <c r="AG195" s="5" t="s">
        <v>307</v>
      </c>
      <c r="AH195" s="5" t="s">
        <v>304</v>
      </c>
      <c r="AI195" s="5"/>
    </row>
    <row r="196" spans="1:35" ht="108.75" customHeight="1">
      <c r="A196" s="5">
        <v>194</v>
      </c>
      <c r="B196" s="5" t="s">
        <v>297</v>
      </c>
      <c r="C196" s="5" t="s">
        <v>1122</v>
      </c>
      <c r="D196" s="5" t="s">
        <v>488</v>
      </c>
      <c r="E196" s="5">
        <v>66</v>
      </c>
      <c r="F196" s="5" t="s">
        <v>300</v>
      </c>
      <c r="G196" s="5" t="s">
        <v>307</v>
      </c>
      <c r="H196" s="5" t="s">
        <v>1123</v>
      </c>
      <c r="I196" s="5" t="s">
        <v>304</v>
      </c>
      <c r="J196" s="5" t="s">
        <v>304</v>
      </c>
      <c r="K196" s="5" t="s">
        <v>301</v>
      </c>
      <c r="L196" s="5" t="s">
        <v>304</v>
      </c>
      <c r="M196" s="5" t="s">
        <v>306</v>
      </c>
      <c r="N196" s="5" t="s">
        <v>304</v>
      </c>
      <c r="O196" s="5" t="s">
        <v>301</v>
      </c>
      <c r="P196" s="5" t="s">
        <v>304</v>
      </c>
      <c r="Q196" s="5" t="s">
        <v>307</v>
      </c>
      <c r="R196" s="5" t="s">
        <v>1124</v>
      </c>
      <c r="S196" s="5" t="s">
        <v>301</v>
      </c>
      <c r="T196" s="5" t="s">
        <v>1125</v>
      </c>
      <c r="U196" s="5" t="s">
        <v>304</v>
      </c>
      <c r="V196" s="5" t="s">
        <v>304</v>
      </c>
      <c r="W196" s="5" t="s">
        <v>304</v>
      </c>
      <c r="X196" s="5" t="s">
        <v>1126</v>
      </c>
      <c r="Y196" s="5" t="s">
        <v>304</v>
      </c>
      <c r="Z196" s="5" t="s">
        <v>304</v>
      </c>
      <c r="AA196" s="5" t="s">
        <v>304</v>
      </c>
      <c r="AB196" s="5" t="s">
        <v>1127</v>
      </c>
      <c r="AC196" s="5" t="s">
        <v>327</v>
      </c>
      <c r="AD196" s="5" t="s">
        <v>307</v>
      </c>
      <c r="AE196" s="5" t="s">
        <v>1128</v>
      </c>
      <c r="AF196" s="5" t="s">
        <v>1129</v>
      </c>
      <c r="AG196" s="5" t="s">
        <v>1130</v>
      </c>
      <c r="AH196" s="5" t="s">
        <v>1131</v>
      </c>
      <c r="AI196" s="5"/>
    </row>
    <row r="197" spans="1:35" ht="27.75" customHeight="1">
      <c r="A197" s="5">
        <v>195</v>
      </c>
      <c r="B197" s="5" t="s">
        <v>297</v>
      </c>
      <c r="C197" s="5" t="s">
        <v>1090</v>
      </c>
      <c r="D197" s="5" t="s">
        <v>337</v>
      </c>
      <c r="E197" s="5">
        <v>68</v>
      </c>
      <c r="F197" s="5" t="s">
        <v>300</v>
      </c>
      <c r="G197" s="5" t="s">
        <v>301</v>
      </c>
      <c r="H197" s="5" t="s">
        <v>1132</v>
      </c>
      <c r="I197" s="5" t="s">
        <v>304</v>
      </c>
      <c r="J197" s="5" t="s">
        <v>304</v>
      </c>
      <c r="K197" s="5" t="s">
        <v>301</v>
      </c>
      <c r="L197" s="5" t="s">
        <v>304</v>
      </c>
      <c r="M197" s="5" t="s">
        <v>843</v>
      </c>
      <c r="N197" s="5" t="s">
        <v>304</v>
      </c>
      <c r="O197" s="5" t="s">
        <v>307</v>
      </c>
      <c r="P197" s="5" t="s">
        <v>304</v>
      </c>
      <c r="Q197" s="5" t="s">
        <v>301</v>
      </c>
      <c r="R197" s="5" t="s">
        <v>1118</v>
      </c>
      <c r="S197" s="5" t="s">
        <v>307</v>
      </c>
      <c r="T197" s="5" t="s">
        <v>1133</v>
      </c>
      <c r="U197" s="5" t="s">
        <v>304</v>
      </c>
      <c r="V197" s="5" t="s">
        <v>304</v>
      </c>
      <c r="W197" s="5" t="s">
        <v>304</v>
      </c>
      <c r="X197" s="5" t="s">
        <v>304</v>
      </c>
      <c r="Y197" s="5" t="s">
        <v>304</v>
      </c>
      <c r="Z197" s="5" t="s">
        <v>304</v>
      </c>
      <c r="AA197" s="5" t="s">
        <v>304</v>
      </c>
      <c r="AB197" s="5" t="s">
        <v>1134</v>
      </c>
      <c r="AC197" s="5" t="s">
        <v>307</v>
      </c>
      <c r="AD197" s="5" t="s">
        <v>307</v>
      </c>
      <c r="AE197" s="5" t="s">
        <v>1135</v>
      </c>
      <c r="AF197" s="5" t="s">
        <v>1129</v>
      </c>
      <c r="AG197" s="5" t="s">
        <v>304</v>
      </c>
      <c r="AH197" s="5" t="s">
        <v>304</v>
      </c>
      <c r="AI197" s="5"/>
    </row>
    <row r="198" spans="1:35" ht="68.25" customHeight="1">
      <c r="A198" s="5">
        <v>196</v>
      </c>
      <c r="B198" s="5" t="s">
        <v>297</v>
      </c>
      <c r="C198" s="5" t="s">
        <v>403</v>
      </c>
      <c r="D198" s="5" t="s">
        <v>299</v>
      </c>
      <c r="E198" s="5">
        <v>60</v>
      </c>
      <c r="F198" s="5" t="s">
        <v>300</v>
      </c>
      <c r="G198" s="5" t="s">
        <v>307</v>
      </c>
      <c r="H198" s="5" t="s">
        <v>304</v>
      </c>
      <c r="I198" s="5" t="s">
        <v>304</v>
      </c>
      <c r="J198" s="5" t="s">
        <v>304</v>
      </c>
      <c r="K198" s="5" t="s">
        <v>301</v>
      </c>
      <c r="L198" s="5" t="s">
        <v>304</v>
      </c>
      <c r="M198" s="5" t="s">
        <v>383</v>
      </c>
      <c r="N198" s="5" t="s">
        <v>1136</v>
      </c>
      <c r="O198" s="5" t="s">
        <v>301</v>
      </c>
      <c r="P198" s="5" t="s">
        <v>304</v>
      </c>
      <c r="Q198" s="5" t="s">
        <v>301</v>
      </c>
      <c r="R198" s="5" t="s">
        <v>1137</v>
      </c>
      <c r="S198" s="5" t="s">
        <v>307</v>
      </c>
      <c r="T198" s="5" t="s">
        <v>304</v>
      </c>
      <c r="U198" s="5" t="s">
        <v>304</v>
      </c>
      <c r="V198" s="5" t="s">
        <v>304</v>
      </c>
      <c r="W198" s="5" t="s">
        <v>304</v>
      </c>
      <c r="X198" s="5" t="s">
        <v>304</v>
      </c>
      <c r="Y198" s="5" t="s">
        <v>304</v>
      </c>
      <c r="Z198" s="5" t="s">
        <v>304</v>
      </c>
      <c r="AA198" s="5" t="s">
        <v>304</v>
      </c>
      <c r="AB198" s="5" t="s">
        <v>1138</v>
      </c>
      <c r="AC198" s="5" t="s">
        <v>327</v>
      </c>
      <c r="AD198" s="5" t="s">
        <v>307</v>
      </c>
      <c r="AE198" s="5">
        <v>0</v>
      </c>
      <c r="AF198" s="5" t="s">
        <v>304</v>
      </c>
      <c r="AG198" s="5" t="s">
        <v>304</v>
      </c>
      <c r="AH198" s="5" t="s">
        <v>1139</v>
      </c>
      <c r="AI198" s="5"/>
    </row>
    <row r="199" spans="1:35" ht="95.25" customHeight="1">
      <c r="A199" s="5">
        <v>197</v>
      </c>
      <c r="B199" s="5" t="s">
        <v>297</v>
      </c>
      <c r="C199" s="5" t="s">
        <v>1140</v>
      </c>
      <c r="D199" s="5" t="s">
        <v>337</v>
      </c>
      <c r="E199" s="5">
        <v>55</v>
      </c>
      <c r="F199" s="5" t="s">
        <v>513</v>
      </c>
      <c r="G199" s="5" t="s">
        <v>307</v>
      </c>
      <c r="H199" s="5" t="s">
        <v>304</v>
      </c>
      <c r="I199" s="5" t="s">
        <v>304</v>
      </c>
      <c r="J199" s="5" t="s">
        <v>304</v>
      </c>
      <c r="K199" s="5" t="s">
        <v>301</v>
      </c>
      <c r="L199" s="5" t="s">
        <v>304</v>
      </c>
      <c r="M199" s="5" t="s">
        <v>306</v>
      </c>
      <c r="N199" s="5" t="s">
        <v>304</v>
      </c>
      <c r="O199" s="5" t="s">
        <v>304</v>
      </c>
      <c r="P199" s="5" t="s">
        <v>1141</v>
      </c>
      <c r="Q199" s="5" t="s">
        <v>301</v>
      </c>
      <c r="R199" s="5" t="s">
        <v>1142</v>
      </c>
      <c r="S199" s="5" t="s">
        <v>301</v>
      </c>
      <c r="T199" s="5" t="s">
        <v>1143</v>
      </c>
      <c r="U199" s="5" t="s">
        <v>304</v>
      </c>
      <c r="V199" s="5" t="s">
        <v>304</v>
      </c>
      <c r="W199" s="5" t="s">
        <v>304</v>
      </c>
      <c r="X199" s="5" t="s">
        <v>304</v>
      </c>
      <c r="Y199" s="5" t="s">
        <v>304</v>
      </c>
      <c r="Z199" s="5" t="s">
        <v>304</v>
      </c>
      <c r="AA199" s="5" t="s">
        <v>304</v>
      </c>
      <c r="AB199" s="5" t="s">
        <v>1144</v>
      </c>
      <c r="AC199" s="5" t="s">
        <v>371</v>
      </c>
      <c r="AD199" s="5" t="s">
        <v>301</v>
      </c>
      <c r="AE199" s="5" t="s">
        <v>1145</v>
      </c>
      <c r="AF199" s="5" t="s">
        <v>304</v>
      </c>
      <c r="AG199" s="5" t="s">
        <v>304</v>
      </c>
      <c r="AH199" s="5" t="s">
        <v>304</v>
      </c>
      <c r="AI199" s="5" t="s">
        <v>1146</v>
      </c>
    </row>
    <row r="200" spans="1:35" ht="68.25" customHeight="1">
      <c r="A200" s="5">
        <v>198</v>
      </c>
      <c r="B200" s="5" t="s">
        <v>297</v>
      </c>
      <c r="C200" s="5" t="s">
        <v>1147</v>
      </c>
      <c r="D200" s="5" t="s">
        <v>337</v>
      </c>
      <c r="E200" s="5">
        <v>55</v>
      </c>
      <c r="F200" s="5" t="s">
        <v>300</v>
      </c>
      <c r="G200" s="5" t="s">
        <v>307</v>
      </c>
      <c r="H200" s="5" t="s">
        <v>304</v>
      </c>
      <c r="I200" s="5" t="s">
        <v>304</v>
      </c>
      <c r="J200" s="5" t="s">
        <v>304</v>
      </c>
      <c r="K200" s="5" t="s">
        <v>301</v>
      </c>
      <c r="L200" s="5" t="s">
        <v>304</v>
      </c>
      <c r="M200" s="5" t="s">
        <v>306</v>
      </c>
      <c r="N200" s="5" t="s">
        <v>304</v>
      </c>
      <c r="O200" s="5" t="s">
        <v>307</v>
      </c>
      <c r="P200" s="5" t="s">
        <v>304</v>
      </c>
      <c r="Q200" s="5" t="s">
        <v>301</v>
      </c>
      <c r="R200" s="5" t="s">
        <v>1148</v>
      </c>
      <c r="S200" s="5" t="s">
        <v>301</v>
      </c>
      <c r="T200" s="5" t="s">
        <v>304</v>
      </c>
      <c r="U200" s="5" t="s">
        <v>304</v>
      </c>
      <c r="V200" s="5" t="s">
        <v>304</v>
      </c>
      <c r="W200" s="5" t="s">
        <v>304</v>
      </c>
      <c r="X200" s="5" t="s">
        <v>301</v>
      </c>
      <c r="Y200" s="5" t="s">
        <v>304</v>
      </c>
      <c r="Z200" s="5" t="s">
        <v>304</v>
      </c>
      <c r="AA200" s="5" t="s">
        <v>304</v>
      </c>
      <c r="AB200" s="5" t="s">
        <v>1149</v>
      </c>
      <c r="AC200" s="5" t="s">
        <v>371</v>
      </c>
      <c r="AD200" s="5" t="s">
        <v>301</v>
      </c>
      <c r="AE200" s="5" t="s">
        <v>307</v>
      </c>
      <c r="AF200" s="5" t="s">
        <v>304</v>
      </c>
      <c r="AG200" s="5" t="s">
        <v>304</v>
      </c>
      <c r="AH200" s="5" t="s">
        <v>304</v>
      </c>
      <c r="AI200" s="5"/>
    </row>
    <row r="201" spans="1:35" ht="41.25" customHeight="1">
      <c r="A201" s="5">
        <v>199</v>
      </c>
      <c r="B201" s="5" t="s">
        <v>297</v>
      </c>
      <c r="C201" s="5" t="s">
        <v>1090</v>
      </c>
      <c r="D201" s="5" t="s">
        <v>337</v>
      </c>
      <c r="E201" s="5"/>
      <c r="F201" s="5" t="s">
        <v>300</v>
      </c>
      <c r="G201" s="5" t="s">
        <v>301</v>
      </c>
      <c r="H201" s="5" t="s">
        <v>1150</v>
      </c>
      <c r="I201" s="5" t="s">
        <v>818</v>
      </c>
      <c r="J201" s="5" t="s">
        <v>304</v>
      </c>
      <c r="K201" s="5" t="s">
        <v>301</v>
      </c>
      <c r="L201" s="5" t="s">
        <v>304</v>
      </c>
      <c r="M201" s="5" t="s">
        <v>304</v>
      </c>
      <c r="N201" s="5" t="s">
        <v>1151</v>
      </c>
      <c r="O201" s="5" t="s">
        <v>307</v>
      </c>
      <c r="P201" s="5" t="s">
        <v>304</v>
      </c>
      <c r="Q201" s="5" t="s">
        <v>307</v>
      </c>
      <c r="R201" s="5" t="s">
        <v>304</v>
      </c>
      <c r="S201" s="5" t="s">
        <v>301</v>
      </c>
      <c r="T201" s="5" t="s">
        <v>304</v>
      </c>
      <c r="U201" s="5" t="s">
        <v>304</v>
      </c>
      <c r="V201" s="5" t="s">
        <v>304</v>
      </c>
      <c r="W201" s="5" t="s">
        <v>304</v>
      </c>
      <c r="X201" s="5" t="s">
        <v>304</v>
      </c>
      <c r="Y201" s="5" t="s">
        <v>304</v>
      </c>
      <c r="Z201" s="5" t="s">
        <v>304</v>
      </c>
      <c r="AA201" s="5" t="s">
        <v>304</v>
      </c>
      <c r="AB201" s="5" t="s">
        <v>1152</v>
      </c>
      <c r="AC201" s="5" t="s">
        <v>327</v>
      </c>
      <c r="AD201" s="5" t="s">
        <v>301</v>
      </c>
      <c r="AE201" s="5" t="s">
        <v>1153</v>
      </c>
      <c r="AF201" s="5" t="s">
        <v>304</v>
      </c>
      <c r="AG201" s="5" t="s">
        <v>304</v>
      </c>
      <c r="AH201" s="5" t="s">
        <v>304</v>
      </c>
      <c r="AI201" s="5"/>
    </row>
    <row r="202" spans="1:35" ht="27.75" customHeight="1">
      <c r="A202" s="5">
        <v>200</v>
      </c>
      <c r="B202" s="5" t="s">
        <v>297</v>
      </c>
      <c r="C202" s="5" t="s">
        <v>1140</v>
      </c>
      <c r="D202" s="5" t="s">
        <v>337</v>
      </c>
      <c r="E202" s="5">
        <v>29</v>
      </c>
      <c r="F202" s="5" t="s">
        <v>300</v>
      </c>
      <c r="G202" s="5" t="s">
        <v>301</v>
      </c>
      <c r="H202" s="5" t="s">
        <v>328</v>
      </c>
      <c r="I202" s="5" t="s">
        <v>304</v>
      </c>
      <c r="J202" s="5" t="s">
        <v>304</v>
      </c>
      <c r="K202" s="5" t="s">
        <v>301</v>
      </c>
      <c r="L202" s="5" t="s">
        <v>304</v>
      </c>
      <c r="M202" s="5" t="s">
        <v>843</v>
      </c>
      <c r="N202" s="5" t="s">
        <v>304</v>
      </c>
      <c r="O202" s="5" t="s">
        <v>307</v>
      </c>
      <c r="P202" s="5" t="s">
        <v>304</v>
      </c>
      <c r="Q202" s="5" t="s">
        <v>307</v>
      </c>
      <c r="R202" s="5" t="s">
        <v>1154</v>
      </c>
      <c r="S202" s="5" t="s">
        <v>301</v>
      </c>
      <c r="T202" s="5" t="s">
        <v>1155</v>
      </c>
      <c r="U202" s="5" t="s">
        <v>304</v>
      </c>
      <c r="V202" s="5" t="s">
        <v>304</v>
      </c>
      <c r="W202" s="5" t="s">
        <v>304</v>
      </c>
      <c r="X202" s="5" t="s">
        <v>304</v>
      </c>
      <c r="Y202" s="5" t="s">
        <v>304</v>
      </c>
      <c r="Z202" s="5" t="s">
        <v>304</v>
      </c>
      <c r="AA202" s="5" t="s">
        <v>304</v>
      </c>
      <c r="AB202" s="5" t="s">
        <v>304</v>
      </c>
      <c r="AC202" s="5" t="s">
        <v>327</v>
      </c>
      <c r="AD202" s="5" t="s">
        <v>301</v>
      </c>
      <c r="AE202" s="5" t="s">
        <v>304</v>
      </c>
      <c r="AF202" s="5" t="s">
        <v>301</v>
      </c>
      <c r="AG202" s="5" t="s">
        <v>304</v>
      </c>
      <c r="AH202" s="5" t="s">
        <v>1156</v>
      </c>
      <c r="AI202" s="5"/>
    </row>
    <row r="203" spans="1:35" ht="27.75" customHeight="1">
      <c r="A203" s="5">
        <v>201</v>
      </c>
      <c r="B203" s="5" t="s">
        <v>297</v>
      </c>
      <c r="C203" s="5" t="s">
        <v>1140</v>
      </c>
      <c r="D203" s="5" t="s">
        <v>337</v>
      </c>
      <c r="E203" s="5">
        <v>45</v>
      </c>
      <c r="F203" s="5" t="s">
        <v>300</v>
      </c>
      <c r="G203" s="5" t="s">
        <v>301</v>
      </c>
      <c r="H203" s="5" t="s">
        <v>328</v>
      </c>
      <c r="I203" s="5" t="s">
        <v>304</v>
      </c>
      <c r="J203" s="5" t="s">
        <v>304</v>
      </c>
      <c r="K203" s="5" t="s">
        <v>301</v>
      </c>
      <c r="L203" s="5" t="s">
        <v>304</v>
      </c>
      <c r="M203" s="5" t="s">
        <v>306</v>
      </c>
      <c r="N203" s="5" t="s">
        <v>304</v>
      </c>
      <c r="O203" s="5" t="s">
        <v>307</v>
      </c>
      <c r="P203" s="5" t="s">
        <v>304</v>
      </c>
      <c r="Q203" s="5" t="s">
        <v>301</v>
      </c>
      <c r="R203" s="5" t="s">
        <v>304</v>
      </c>
      <c r="S203" s="5" t="s">
        <v>301</v>
      </c>
      <c r="T203" s="5" t="s">
        <v>304</v>
      </c>
      <c r="U203" s="5" t="s">
        <v>304</v>
      </c>
      <c r="V203" s="5" t="s">
        <v>304</v>
      </c>
      <c r="W203" s="5" t="s">
        <v>304</v>
      </c>
      <c r="X203" s="5" t="s">
        <v>304</v>
      </c>
      <c r="Y203" s="5" t="s">
        <v>304</v>
      </c>
      <c r="Z203" s="5" t="s">
        <v>304</v>
      </c>
      <c r="AA203" s="5" t="s">
        <v>304</v>
      </c>
      <c r="AB203" s="5" t="s">
        <v>304</v>
      </c>
      <c r="AC203" s="5" t="s">
        <v>371</v>
      </c>
      <c r="AD203" s="5" t="s">
        <v>301</v>
      </c>
      <c r="AE203" s="5" t="s">
        <v>1157</v>
      </c>
      <c r="AF203" s="5" t="s">
        <v>301</v>
      </c>
      <c r="AG203" s="5" t="s">
        <v>307</v>
      </c>
      <c r="AH203" s="5" t="s">
        <v>1158</v>
      </c>
      <c r="AI203" s="5"/>
    </row>
    <row r="204" spans="1:35" ht="41.25" customHeight="1">
      <c r="A204" s="5">
        <v>202</v>
      </c>
      <c r="B204" s="5" t="s">
        <v>297</v>
      </c>
      <c r="C204" s="5" t="s">
        <v>1140</v>
      </c>
      <c r="D204" s="5" t="s">
        <v>337</v>
      </c>
      <c r="E204" s="5">
        <v>36</v>
      </c>
      <c r="F204" s="5" t="s">
        <v>300</v>
      </c>
      <c r="G204" s="5" t="s">
        <v>301</v>
      </c>
      <c r="H204" s="5" t="s">
        <v>1159</v>
      </c>
      <c r="I204" s="5" t="s">
        <v>1160</v>
      </c>
      <c r="J204" s="5" t="s">
        <v>304</v>
      </c>
      <c r="K204" s="5" t="s">
        <v>301</v>
      </c>
      <c r="L204" s="5" t="s">
        <v>304</v>
      </c>
      <c r="M204" s="5" t="s">
        <v>306</v>
      </c>
      <c r="N204" s="5" t="s">
        <v>304</v>
      </c>
      <c r="O204" s="5" t="s">
        <v>307</v>
      </c>
      <c r="P204" s="5" t="s">
        <v>304</v>
      </c>
      <c r="Q204" s="5" t="s">
        <v>307</v>
      </c>
      <c r="R204" s="5" t="s">
        <v>304</v>
      </c>
      <c r="S204" s="5" t="s">
        <v>301</v>
      </c>
      <c r="T204" s="5" t="s">
        <v>1161</v>
      </c>
      <c r="U204" s="5" t="s">
        <v>304</v>
      </c>
      <c r="V204" s="5" t="s">
        <v>304</v>
      </c>
      <c r="W204" s="5" t="s">
        <v>304</v>
      </c>
      <c r="X204" s="5" t="s">
        <v>307</v>
      </c>
      <c r="Y204" s="5" t="s">
        <v>304</v>
      </c>
      <c r="Z204" s="5" t="s">
        <v>304</v>
      </c>
      <c r="AA204" s="5" t="s">
        <v>304</v>
      </c>
      <c r="AB204" s="5" t="s">
        <v>1162</v>
      </c>
      <c r="AC204" s="5" t="s">
        <v>327</v>
      </c>
      <c r="AD204" s="5" t="s">
        <v>301</v>
      </c>
      <c r="AE204" s="5" t="s">
        <v>1163</v>
      </c>
      <c r="AF204" s="5" t="s">
        <v>307</v>
      </c>
      <c r="AG204" s="5" t="s">
        <v>307</v>
      </c>
      <c r="AH204" s="5" t="s">
        <v>1164</v>
      </c>
      <c r="AI204" s="5"/>
    </row>
    <row r="205" spans="1:35" ht="27.75" customHeight="1">
      <c r="A205" s="5">
        <v>203</v>
      </c>
      <c r="B205" s="5" t="s">
        <v>297</v>
      </c>
      <c r="C205" s="5" t="s">
        <v>1090</v>
      </c>
      <c r="D205" s="5" t="s">
        <v>337</v>
      </c>
      <c r="E205" s="5">
        <v>22</v>
      </c>
      <c r="F205" s="5" t="s">
        <v>300</v>
      </c>
      <c r="G205" s="5" t="s">
        <v>301</v>
      </c>
      <c r="H205" s="5" t="s">
        <v>1165</v>
      </c>
      <c r="I205" s="5" t="s">
        <v>304</v>
      </c>
      <c r="J205" s="5" t="s">
        <v>304</v>
      </c>
      <c r="K205" s="5" t="s">
        <v>301</v>
      </c>
      <c r="L205" s="5" t="s">
        <v>501</v>
      </c>
      <c r="M205" s="5" t="s">
        <v>306</v>
      </c>
      <c r="N205" s="5" t="s">
        <v>304</v>
      </c>
      <c r="O205" s="5" t="s">
        <v>307</v>
      </c>
      <c r="P205" s="5" t="s">
        <v>304</v>
      </c>
      <c r="Q205" s="5" t="s">
        <v>301</v>
      </c>
      <c r="R205" s="5" t="s">
        <v>304</v>
      </c>
      <c r="S205" s="5" t="s">
        <v>301</v>
      </c>
      <c r="T205" s="5" t="s">
        <v>818</v>
      </c>
      <c r="U205" s="5" t="s">
        <v>304</v>
      </c>
      <c r="V205" s="5" t="s">
        <v>304</v>
      </c>
      <c r="W205" s="5" t="s">
        <v>304</v>
      </c>
      <c r="X205" s="5" t="s">
        <v>307</v>
      </c>
      <c r="Y205" s="5" t="s">
        <v>304</v>
      </c>
      <c r="Z205" s="5" t="s">
        <v>304</v>
      </c>
      <c r="AA205" s="5" t="s">
        <v>304</v>
      </c>
      <c r="AB205" s="5" t="s">
        <v>1166</v>
      </c>
      <c r="AC205" s="5" t="s">
        <v>327</v>
      </c>
      <c r="AD205" s="5" t="s">
        <v>307</v>
      </c>
      <c r="AE205" s="5" t="s">
        <v>1167</v>
      </c>
      <c r="AF205" s="5" t="s">
        <v>1168</v>
      </c>
      <c r="AG205" s="5" t="s">
        <v>307</v>
      </c>
      <c r="AH205" s="5" t="s">
        <v>1169</v>
      </c>
      <c r="AI205" s="5"/>
    </row>
    <row r="206" spans="1:35" ht="41.25" customHeight="1">
      <c r="A206" s="5">
        <v>204</v>
      </c>
      <c r="B206" s="5" t="s">
        <v>297</v>
      </c>
      <c r="C206" s="5" t="s">
        <v>1090</v>
      </c>
      <c r="D206" s="5" t="s">
        <v>337</v>
      </c>
      <c r="E206" s="5">
        <v>32</v>
      </c>
      <c r="F206" s="5" t="s">
        <v>300</v>
      </c>
      <c r="G206" s="5" t="s">
        <v>301</v>
      </c>
      <c r="H206" s="5" t="s">
        <v>1170</v>
      </c>
      <c r="I206" s="5" t="s">
        <v>951</v>
      </c>
      <c r="J206" s="5" t="s">
        <v>304</v>
      </c>
      <c r="K206" s="5" t="s">
        <v>301</v>
      </c>
      <c r="L206" s="5" t="s">
        <v>1171</v>
      </c>
      <c r="M206" s="5" t="s">
        <v>843</v>
      </c>
      <c r="N206" s="5" t="s">
        <v>304</v>
      </c>
      <c r="O206" s="5" t="s">
        <v>307</v>
      </c>
      <c r="P206" s="5" t="s">
        <v>304</v>
      </c>
      <c r="Q206" s="5" t="s">
        <v>301</v>
      </c>
      <c r="R206" s="5" t="s">
        <v>1172</v>
      </c>
      <c r="S206" s="5" t="s">
        <v>301</v>
      </c>
      <c r="T206" s="5" t="s">
        <v>937</v>
      </c>
      <c r="U206" s="5" t="s">
        <v>304</v>
      </c>
      <c r="V206" s="5" t="s">
        <v>304</v>
      </c>
      <c r="W206" s="5" t="s">
        <v>304</v>
      </c>
      <c r="X206" s="5" t="s">
        <v>301</v>
      </c>
      <c r="Y206" s="5" t="s">
        <v>304</v>
      </c>
      <c r="Z206" s="5" t="s">
        <v>304</v>
      </c>
      <c r="AA206" s="5" t="s">
        <v>304</v>
      </c>
      <c r="AB206" s="5" t="s">
        <v>1173</v>
      </c>
      <c r="AC206" s="5" t="s">
        <v>819</v>
      </c>
      <c r="AD206" s="5" t="s">
        <v>301</v>
      </c>
      <c r="AE206" s="5">
        <v>3</v>
      </c>
      <c r="AF206" s="5" t="s">
        <v>1174</v>
      </c>
      <c r="AG206" s="5" t="s">
        <v>304</v>
      </c>
      <c r="AH206" s="5" t="s">
        <v>1175</v>
      </c>
      <c r="AI206" s="5" t="s">
        <v>808</v>
      </c>
    </row>
    <row r="207" spans="1:35" ht="27.75" customHeight="1">
      <c r="A207" s="5">
        <v>205</v>
      </c>
      <c r="B207" s="5" t="s">
        <v>297</v>
      </c>
      <c r="C207" s="5" t="s">
        <v>932</v>
      </c>
      <c r="D207" s="5" t="s">
        <v>337</v>
      </c>
      <c r="E207" s="5">
        <v>35</v>
      </c>
      <c r="F207" s="5" t="s">
        <v>300</v>
      </c>
      <c r="G207" s="5" t="s">
        <v>307</v>
      </c>
      <c r="H207" s="5" t="s">
        <v>1176</v>
      </c>
      <c r="I207" s="5" t="s">
        <v>304</v>
      </c>
      <c r="J207" s="5" t="s">
        <v>304</v>
      </c>
      <c r="K207" s="5" t="s">
        <v>1177</v>
      </c>
      <c r="L207" s="5" t="s">
        <v>1177</v>
      </c>
      <c r="M207" s="5" t="s">
        <v>843</v>
      </c>
      <c r="N207" s="5" t="s">
        <v>304</v>
      </c>
      <c r="O207" s="5" t="s">
        <v>307</v>
      </c>
      <c r="P207" s="5" t="s">
        <v>304</v>
      </c>
      <c r="Q207" s="5" t="s">
        <v>301</v>
      </c>
      <c r="R207" s="5" t="s">
        <v>304</v>
      </c>
      <c r="S207" s="5" t="s">
        <v>301</v>
      </c>
      <c r="T207" s="5" t="s">
        <v>304</v>
      </c>
      <c r="U207" s="5" t="s">
        <v>304</v>
      </c>
      <c r="V207" s="5" t="s">
        <v>304</v>
      </c>
      <c r="W207" s="5" t="s">
        <v>304</v>
      </c>
      <c r="X207" s="5" t="s">
        <v>301</v>
      </c>
      <c r="Y207" s="5" t="s">
        <v>304</v>
      </c>
      <c r="Z207" s="5" t="s">
        <v>304</v>
      </c>
      <c r="AA207" s="5" t="s">
        <v>304</v>
      </c>
      <c r="AB207" s="5" t="s">
        <v>1178</v>
      </c>
      <c r="AC207" s="5" t="s">
        <v>327</v>
      </c>
      <c r="AD207" s="5" t="s">
        <v>301</v>
      </c>
      <c r="AE207" s="5" t="s">
        <v>1179</v>
      </c>
      <c r="AF207" s="5" t="s">
        <v>304</v>
      </c>
      <c r="AG207" s="5" t="s">
        <v>304</v>
      </c>
      <c r="AH207" s="5" t="s">
        <v>304</v>
      </c>
      <c r="AI207" s="5"/>
    </row>
    <row r="208" spans="1:35" ht="81.75" customHeight="1">
      <c r="A208" s="5">
        <v>206</v>
      </c>
      <c r="B208" s="5" t="s">
        <v>297</v>
      </c>
      <c r="C208" s="5" t="s">
        <v>1180</v>
      </c>
      <c r="D208" s="5" t="s">
        <v>299</v>
      </c>
      <c r="E208" s="5">
        <v>24</v>
      </c>
      <c r="F208" s="5" t="s">
        <v>300</v>
      </c>
      <c r="G208" s="5" t="s">
        <v>301</v>
      </c>
      <c r="H208" s="5" t="s">
        <v>951</v>
      </c>
      <c r="I208" s="5" t="s">
        <v>422</v>
      </c>
      <c r="J208" s="5" t="s">
        <v>1181</v>
      </c>
      <c r="K208" s="5" t="s">
        <v>304</v>
      </c>
      <c r="L208" s="5" t="s">
        <v>304</v>
      </c>
      <c r="M208" s="5" t="s">
        <v>304</v>
      </c>
      <c r="N208" s="5" t="s">
        <v>304</v>
      </c>
      <c r="O208" s="5" t="s">
        <v>304</v>
      </c>
      <c r="P208" s="5" t="s">
        <v>304</v>
      </c>
      <c r="Q208" s="5" t="s">
        <v>301</v>
      </c>
      <c r="R208" s="5" t="s">
        <v>304</v>
      </c>
      <c r="S208" s="5" t="s">
        <v>307</v>
      </c>
      <c r="T208" s="5" t="s">
        <v>304</v>
      </c>
      <c r="U208" s="5" t="s">
        <v>304</v>
      </c>
      <c r="V208" s="5" t="s">
        <v>304</v>
      </c>
      <c r="W208" s="5" t="s">
        <v>304</v>
      </c>
      <c r="X208" s="5" t="s">
        <v>304</v>
      </c>
      <c r="Y208" s="5" t="s">
        <v>304</v>
      </c>
      <c r="Z208" s="5" t="s">
        <v>304</v>
      </c>
      <c r="AA208" s="5" t="s">
        <v>304</v>
      </c>
      <c r="AB208" s="5" t="s">
        <v>1182</v>
      </c>
      <c r="AC208" s="5" t="s">
        <v>327</v>
      </c>
      <c r="AD208" s="5" t="s">
        <v>307</v>
      </c>
      <c r="AE208" s="5" t="s">
        <v>304</v>
      </c>
      <c r="AF208" s="5" t="s">
        <v>304</v>
      </c>
      <c r="AG208" s="5" t="s">
        <v>304</v>
      </c>
      <c r="AH208" s="5" t="s">
        <v>304</v>
      </c>
      <c r="AI208" s="5" t="s">
        <v>1183</v>
      </c>
    </row>
    <row r="209" spans="1:35" ht="122.25" customHeight="1">
      <c r="A209" s="5">
        <v>207</v>
      </c>
      <c r="B209" s="5" t="s">
        <v>297</v>
      </c>
      <c r="C209" s="5" t="s">
        <v>953</v>
      </c>
      <c r="D209" s="5" t="s">
        <v>299</v>
      </c>
      <c r="E209" s="5">
        <v>35</v>
      </c>
      <c r="F209" s="5" t="s">
        <v>300</v>
      </c>
      <c r="G209" s="5" t="s">
        <v>307</v>
      </c>
      <c r="H209" s="5" t="s">
        <v>334</v>
      </c>
      <c r="I209" s="5" t="s">
        <v>304</v>
      </c>
      <c r="J209" s="5" t="s">
        <v>304</v>
      </c>
      <c r="K209" s="5" t="s">
        <v>301</v>
      </c>
      <c r="L209" s="5" t="s">
        <v>1184</v>
      </c>
      <c r="M209" s="5" t="s">
        <v>843</v>
      </c>
      <c r="N209" s="5" t="s">
        <v>304</v>
      </c>
      <c r="O209" s="5" t="s">
        <v>307</v>
      </c>
      <c r="P209" s="5" t="s">
        <v>304</v>
      </c>
      <c r="Q209" s="5" t="s">
        <v>301</v>
      </c>
      <c r="R209" s="5" t="s">
        <v>304</v>
      </c>
      <c r="S209" s="5" t="s">
        <v>307</v>
      </c>
      <c r="T209" s="5" t="s">
        <v>304</v>
      </c>
      <c r="U209" s="5" t="s">
        <v>304</v>
      </c>
      <c r="V209" s="5" t="s">
        <v>304</v>
      </c>
      <c r="W209" s="5" t="s">
        <v>304</v>
      </c>
      <c r="X209" s="5" t="s">
        <v>1185</v>
      </c>
      <c r="Y209" s="5" t="s">
        <v>304</v>
      </c>
      <c r="Z209" s="5" t="s">
        <v>304</v>
      </c>
      <c r="AA209" s="5" t="s">
        <v>304</v>
      </c>
      <c r="AB209" s="5" t="s">
        <v>304</v>
      </c>
      <c r="AC209" s="5" t="s">
        <v>307</v>
      </c>
      <c r="AD209" s="5" t="s">
        <v>307</v>
      </c>
      <c r="AE209" s="5" t="s">
        <v>307</v>
      </c>
      <c r="AF209" s="5" t="s">
        <v>304</v>
      </c>
      <c r="AG209" s="5" t="s">
        <v>304</v>
      </c>
      <c r="AH209" s="5" t="s">
        <v>304</v>
      </c>
      <c r="AI209" s="5" t="s">
        <v>1186</v>
      </c>
    </row>
    <row r="210" spans="1:35" ht="54.75" customHeight="1">
      <c r="A210" s="5">
        <v>208</v>
      </c>
      <c r="B210" s="5" t="s">
        <v>297</v>
      </c>
      <c r="C210" s="5" t="s">
        <v>733</v>
      </c>
      <c r="D210" s="5" t="s">
        <v>337</v>
      </c>
      <c r="E210" s="5">
        <v>65</v>
      </c>
      <c r="F210" s="5" t="s">
        <v>300</v>
      </c>
      <c r="G210" s="5" t="s">
        <v>301</v>
      </c>
      <c r="H210" s="5" t="s">
        <v>304</v>
      </c>
      <c r="I210" s="5" t="s">
        <v>304</v>
      </c>
      <c r="J210" s="5" t="s">
        <v>304</v>
      </c>
      <c r="K210" s="5" t="s">
        <v>301</v>
      </c>
      <c r="L210" s="5" t="s">
        <v>304</v>
      </c>
      <c r="M210" s="5" t="s">
        <v>306</v>
      </c>
      <c r="N210" s="5" t="s">
        <v>304</v>
      </c>
      <c r="O210" s="5" t="s">
        <v>307</v>
      </c>
      <c r="P210" s="5" t="s">
        <v>304</v>
      </c>
      <c r="Q210" s="5" t="s">
        <v>301</v>
      </c>
      <c r="R210" s="5" t="s">
        <v>304</v>
      </c>
      <c r="S210" s="5" t="s">
        <v>301</v>
      </c>
      <c r="T210" s="5" t="s">
        <v>1187</v>
      </c>
      <c r="U210" s="5" t="s">
        <v>304</v>
      </c>
      <c r="V210" s="5" t="s">
        <v>304</v>
      </c>
      <c r="W210" s="5" t="s">
        <v>304</v>
      </c>
      <c r="X210" s="5" t="s">
        <v>301</v>
      </c>
      <c r="Y210" s="5" t="s">
        <v>304</v>
      </c>
      <c r="Z210" s="5" t="s">
        <v>304</v>
      </c>
      <c r="AA210" s="5" t="s">
        <v>304</v>
      </c>
      <c r="AB210" s="5" t="s">
        <v>1188</v>
      </c>
      <c r="AC210" s="6" t="s">
        <v>1189</v>
      </c>
      <c r="AD210" s="5" t="s">
        <v>301</v>
      </c>
      <c r="AE210" s="5" t="s">
        <v>307</v>
      </c>
      <c r="AF210" s="5" t="s">
        <v>304</v>
      </c>
      <c r="AG210" s="5" t="s">
        <v>304</v>
      </c>
      <c r="AH210" s="5" t="s">
        <v>304</v>
      </c>
      <c r="AI210" s="5"/>
    </row>
    <row r="211" spans="1:35" ht="41.25" customHeight="1">
      <c r="A211" s="5">
        <v>209</v>
      </c>
      <c r="B211" s="5" t="s">
        <v>297</v>
      </c>
      <c r="C211" s="5" t="s">
        <v>1190</v>
      </c>
      <c r="D211" s="5" t="s">
        <v>299</v>
      </c>
      <c r="E211" s="5">
        <v>30</v>
      </c>
      <c r="F211" s="5" t="s">
        <v>300</v>
      </c>
      <c r="G211" s="5" t="s">
        <v>301</v>
      </c>
      <c r="H211" s="5" t="s">
        <v>303</v>
      </c>
      <c r="I211" s="5" t="s">
        <v>302</v>
      </c>
      <c r="J211" s="5" t="s">
        <v>304</v>
      </c>
      <c r="K211" s="5" t="s">
        <v>301</v>
      </c>
      <c r="L211" s="5" t="s">
        <v>304</v>
      </c>
      <c r="M211" s="5" t="s">
        <v>306</v>
      </c>
      <c r="N211" s="5" t="s">
        <v>304</v>
      </c>
      <c r="O211" s="5" t="s">
        <v>307</v>
      </c>
      <c r="P211" s="5" t="s">
        <v>304</v>
      </c>
      <c r="Q211" s="5" t="s">
        <v>301</v>
      </c>
      <c r="R211" s="5" t="s">
        <v>304</v>
      </c>
      <c r="S211" s="5" t="s">
        <v>307</v>
      </c>
      <c r="T211" s="5" t="s">
        <v>304</v>
      </c>
      <c r="U211" s="5" t="s">
        <v>304</v>
      </c>
      <c r="V211" s="5" t="s">
        <v>304</v>
      </c>
      <c r="W211" s="5" t="s">
        <v>304</v>
      </c>
      <c r="X211" s="5" t="s">
        <v>307</v>
      </c>
      <c r="Y211" s="5" t="s">
        <v>304</v>
      </c>
      <c r="Z211" s="5" t="s">
        <v>304</v>
      </c>
      <c r="AA211" s="5" t="s">
        <v>304</v>
      </c>
      <c r="AB211" s="5" t="s">
        <v>304</v>
      </c>
      <c r="AC211" s="5" t="s">
        <v>327</v>
      </c>
      <c r="AD211" s="5" t="s">
        <v>301</v>
      </c>
      <c r="AE211" s="5" t="s">
        <v>350</v>
      </c>
      <c r="AF211" s="5" t="s">
        <v>301</v>
      </c>
      <c r="AG211" s="5" t="s">
        <v>307</v>
      </c>
      <c r="AH211" s="5" t="s">
        <v>1191</v>
      </c>
      <c r="AI211" s="5"/>
    </row>
    <row r="212" spans="1:35" ht="15" customHeight="1">
      <c r="A212" s="5">
        <v>210</v>
      </c>
      <c r="B212" s="5" t="s">
        <v>297</v>
      </c>
      <c r="C212" s="5" t="s">
        <v>1180</v>
      </c>
      <c r="D212" s="5" t="s">
        <v>299</v>
      </c>
      <c r="E212" s="5">
        <v>35</v>
      </c>
      <c r="F212" s="5" t="s">
        <v>300</v>
      </c>
      <c r="G212" s="5" t="s">
        <v>301</v>
      </c>
      <c r="H212" s="5" t="s">
        <v>310</v>
      </c>
      <c r="I212" s="5" t="s">
        <v>303</v>
      </c>
      <c r="J212" s="5" t="s">
        <v>304</v>
      </c>
      <c r="K212" s="5" t="s">
        <v>301</v>
      </c>
      <c r="L212" s="5" t="s">
        <v>304</v>
      </c>
      <c r="M212" s="5" t="s">
        <v>306</v>
      </c>
      <c r="N212" s="5" t="s">
        <v>304</v>
      </c>
      <c r="O212" s="5" t="s">
        <v>307</v>
      </c>
      <c r="P212" s="5" t="s">
        <v>304</v>
      </c>
      <c r="Q212" s="5" t="s">
        <v>301</v>
      </c>
      <c r="R212" s="5" t="s">
        <v>304</v>
      </c>
      <c r="S212" s="5" t="s">
        <v>307</v>
      </c>
      <c r="T212" s="5" t="s">
        <v>304</v>
      </c>
      <c r="U212" s="5" t="s">
        <v>304</v>
      </c>
      <c r="V212" s="5" t="s">
        <v>304</v>
      </c>
      <c r="W212" s="5" t="s">
        <v>304</v>
      </c>
      <c r="X212" s="5" t="s">
        <v>307</v>
      </c>
      <c r="Y212" s="5" t="s">
        <v>304</v>
      </c>
      <c r="Z212" s="5" t="s">
        <v>304</v>
      </c>
      <c r="AA212" s="5" t="s">
        <v>304</v>
      </c>
      <c r="AB212" s="5" t="s">
        <v>304</v>
      </c>
      <c r="AC212" s="5" t="s">
        <v>327</v>
      </c>
      <c r="AD212" s="5" t="s">
        <v>301</v>
      </c>
      <c r="AE212" s="5" t="s">
        <v>357</v>
      </c>
      <c r="AF212" s="5" t="s">
        <v>301</v>
      </c>
      <c r="AG212" s="5" t="s">
        <v>307</v>
      </c>
      <c r="AH212" s="5" t="s">
        <v>1192</v>
      </c>
      <c r="AI212" s="5"/>
    </row>
    <row r="213" spans="1:35" ht="68.25" customHeight="1">
      <c r="A213" s="5">
        <v>211</v>
      </c>
      <c r="B213" s="5" t="s">
        <v>297</v>
      </c>
      <c r="C213" s="5" t="s">
        <v>443</v>
      </c>
      <c r="D213" s="5" t="s">
        <v>337</v>
      </c>
      <c r="E213" s="5">
        <v>55</v>
      </c>
      <c r="F213" s="5" t="s">
        <v>300</v>
      </c>
      <c r="G213" s="5" t="s">
        <v>301</v>
      </c>
      <c r="H213" s="5" t="s">
        <v>1193</v>
      </c>
      <c r="I213" s="5" t="s">
        <v>304</v>
      </c>
      <c r="J213" s="5" t="s">
        <v>304</v>
      </c>
      <c r="K213" s="5" t="s">
        <v>301</v>
      </c>
      <c r="L213" s="5" t="s">
        <v>304</v>
      </c>
      <c r="M213" s="5" t="s">
        <v>306</v>
      </c>
      <c r="N213" s="5" t="s">
        <v>304</v>
      </c>
      <c r="O213" s="5" t="s">
        <v>301</v>
      </c>
      <c r="P213" s="5" t="s">
        <v>304</v>
      </c>
      <c r="Q213" s="5" t="s">
        <v>301</v>
      </c>
      <c r="R213" s="5" t="s">
        <v>304</v>
      </c>
      <c r="S213" s="5" t="s">
        <v>301</v>
      </c>
      <c r="T213" s="5" t="s">
        <v>1194</v>
      </c>
      <c r="U213" s="5" t="s">
        <v>304</v>
      </c>
      <c r="V213" s="5" t="s">
        <v>304</v>
      </c>
      <c r="W213" s="5" t="s">
        <v>304</v>
      </c>
      <c r="X213" s="5" t="s">
        <v>304</v>
      </c>
      <c r="Y213" s="5" t="s">
        <v>304</v>
      </c>
      <c r="Z213" s="5" t="s">
        <v>304</v>
      </c>
      <c r="AA213" s="5" t="s">
        <v>304</v>
      </c>
      <c r="AB213" s="5" t="s">
        <v>1195</v>
      </c>
      <c r="AC213" s="5" t="s">
        <v>327</v>
      </c>
      <c r="AD213" s="5" t="s">
        <v>301</v>
      </c>
      <c r="AE213" s="5" t="s">
        <v>1196</v>
      </c>
      <c r="AF213" s="5" t="s">
        <v>304</v>
      </c>
      <c r="AG213" s="5" t="s">
        <v>304</v>
      </c>
      <c r="AH213" s="5" t="s">
        <v>304</v>
      </c>
      <c r="AI213" s="5" t="s">
        <v>808</v>
      </c>
    </row>
    <row r="214" spans="1:35" ht="41.25" customHeight="1">
      <c r="A214" s="5">
        <v>212</v>
      </c>
      <c r="B214" s="5" t="s">
        <v>297</v>
      </c>
      <c r="C214" s="5" t="s">
        <v>1197</v>
      </c>
      <c r="D214" s="5" t="s">
        <v>299</v>
      </c>
      <c r="E214" s="5">
        <v>38</v>
      </c>
      <c r="F214" s="5" t="s">
        <v>300</v>
      </c>
      <c r="G214" s="5" t="s">
        <v>307</v>
      </c>
      <c r="H214" s="5" t="s">
        <v>304</v>
      </c>
      <c r="I214" s="5" t="s">
        <v>304</v>
      </c>
      <c r="J214" s="5" t="s">
        <v>304</v>
      </c>
      <c r="K214" s="5" t="s">
        <v>301</v>
      </c>
      <c r="L214" s="5" t="s">
        <v>304</v>
      </c>
      <c r="M214" s="5" t="s">
        <v>306</v>
      </c>
      <c r="N214" s="5" t="s">
        <v>304</v>
      </c>
      <c r="O214" s="5" t="s">
        <v>307</v>
      </c>
      <c r="P214" s="5" t="s">
        <v>304</v>
      </c>
      <c r="Q214" s="5" t="s">
        <v>301</v>
      </c>
      <c r="R214" s="5" t="s">
        <v>304</v>
      </c>
      <c r="S214" s="5" t="s">
        <v>307</v>
      </c>
      <c r="T214" s="5" t="s">
        <v>304</v>
      </c>
      <c r="U214" s="5" t="s">
        <v>304</v>
      </c>
      <c r="V214" s="5" t="s">
        <v>304</v>
      </c>
      <c r="W214" s="5" t="s">
        <v>304</v>
      </c>
      <c r="X214" s="5" t="s">
        <v>304</v>
      </c>
      <c r="Y214" s="5" t="s">
        <v>304</v>
      </c>
      <c r="Z214" s="5" t="s">
        <v>304</v>
      </c>
      <c r="AA214" s="5" t="s">
        <v>304</v>
      </c>
      <c r="AB214" s="5" t="s">
        <v>1198</v>
      </c>
      <c r="AC214" s="5" t="s">
        <v>327</v>
      </c>
      <c r="AD214" s="5" t="s">
        <v>307</v>
      </c>
      <c r="AE214" s="5" t="s">
        <v>307</v>
      </c>
      <c r="AF214" s="5" t="s">
        <v>1199</v>
      </c>
      <c r="AG214" s="5" t="s">
        <v>307</v>
      </c>
      <c r="AH214" s="5" t="s">
        <v>304</v>
      </c>
      <c r="AI214" s="5"/>
    </row>
    <row r="215" spans="1:35" ht="54.75" customHeight="1">
      <c r="A215" s="5">
        <v>213</v>
      </c>
      <c r="B215" s="5" t="s">
        <v>297</v>
      </c>
      <c r="C215" s="5" t="s">
        <v>1200</v>
      </c>
      <c r="D215" s="5" t="s">
        <v>488</v>
      </c>
      <c r="E215" s="5">
        <v>26</v>
      </c>
      <c r="F215" s="5" t="s">
        <v>300</v>
      </c>
      <c r="G215" s="5" t="s">
        <v>307</v>
      </c>
      <c r="H215" s="5" t="s">
        <v>304</v>
      </c>
      <c r="I215" s="5" t="s">
        <v>304</v>
      </c>
      <c r="J215" s="5" t="s">
        <v>304</v>
      </c>
      <c r="K215" s="5" t="s">
        <v>301</v>
      </c>
      <c r="L215" s="5" t="s">
        <v>304</v>
      </c>
      <c r="M215" s="5" t="s">
        <v>306</v>
      </c>
      <c r="N215" s="5" t="s">
        <v>304</v>
      </c>
      <c r="O215" s="5" t="s">
        <v>301</v>
      </c>
      <c r="P215" s="5" t="s">
        <v>304</v>
      </c>
      <c r="Q215" s="5" t="s">
        <v>307</v>
      </c>
      <c r="R215" s="5" t="s">
        <v>1201</v>
      </c>
      <c r="S215" s="5" t="s">
        <v>301</v>
      </c>
      <c r="T215" s="5" t="s">
        <v>304</v>
      </c>
      <c r="U215" s="5" t="s">
        <v>304</v>
      </c>
      <c r="V215" s="5" t="s">
        <v>304</v>
      </c>
      <c r="W215" s="5" t="s">
        <v>304</v>
      </c>
      <c r="X215" s="5" t="s">
        <v>304</v>
      </c>
      <c r="Y215" s="5" t="s">
        <v>304</v>
      </c>
      <c r="Z215" s="5" t="s">
        <v>304</v>
      </c>
      <c r="AA215" s="5" t="s">
        <v>304</v>
      </c>
      <c r="AB215" s="5" t="s">
        <v>1202</v>
      </c>
      <c r="AC215" s="5" t="s">
        <v>307</v>
      </c>
      <c r="AD215" s="5" t="s">
        <v>307</v>
      </c>
      <c r="AE215" s="5" t="s">
        <v>307</v>
      </c>
      <c r="AF215" s="5" t="s">
        <v>1203</v>
      </c>
      <c r="AG215" s="5" t="s">
        <v>307</v>
      </c>
      <c r="AH215" s="5" t="s">
        <v>304</v>
      </c>
      <c r="AI215" s="5"/>
    </row>
    <row r="216" spans="1:35" ht="41.25" customHeight="1">
      <c r="A216" s="5">
        <v>214</v>
      </c>
      <c r="B216" s="5" t="s">
        <v>297</v>
      </c>
      <c r="C216" s="5" t="s">
        <v>1204</v>
      </c>
      <c r="D216" s="5" t="s">
        <v>299</v>
      </c>
      <c r="E216" s="5">
        <v>25</v>
      </c>
      <c r="F216" s="5" t="s">
        <v>300</v>
      </c>
      <c r="G216" s="5" t="s">
        <v>301</v>
      </c>
      <c r="H216" s="5" t="s">
        <v>1205</v>
      </c>
      <c r="I216" s="5" t="s">
        <v>304</v>
      </c>
      <c r="J216" s="5" t="s">
        <v>304</v>
      </c>
      <c r="K216" s="5" t="s">
        <v>301</v>
      </c>
      <c r="L216" s="5" t="s">
        <v>1206</v>
      </c>
      <c r="M216" s="5" t="s">
        <v>306</v>
      </c>
      <c r="N216" s="5" t="s">
        <v>304</v>
      </c>
      <c r="O216" s="5" t="s">
        <v>301</v>
      </c>
      <c r="P216" s="5" t="s">
        <v>304</v>
      </c>
      <c r="Q216" s="5" t="s">
        <v>307</v>
      </c>
      <c r="R216" s="5" t="s">
        <v>1201</v>
      </c>
      <c r="S216" s="5" t="s">
        <v>307</v>
      </c>
      <c r="T216" s="5" t="s">
        <v>304</v>
      </c>
      <c r="U216" s="5" t="s">
        <v>304</v>
      </c>
      <c r="V216" s="5" t="s">
        <v>304</v>
      </c>
      <c r="W216" s="5" t="s">
        <v>304</v>
      </c>
      <c r="X216" s="5" t="s">
        <v>307</v>
      </c>
      <c r="Y216" s="5" t="s">
        <v>304</v>
      </c>
      <c r="Z216" s="5" t="s">
        <v>304</v>
      </c>
      <c r="AA216" s="5" t="s">
        <v>304</v>
      </c>
      <c r="AB216" s="5" t="s">
        <v>1207</v>
      </c>
      <c r="AC216" s="5" t="s">
        <v>307</v>
      </c>
      <c r="AD216" s="5" t="s">
        <v>307</v>
      </c>
      <c r="AE216" s="5" t="s">
        <v>1208</v>
      </c>
      <c r="AF216" s="5" t="s">
        <v>1209</v>
      </c>
      <c r="AG216" s="5" t="s">
        <v>304</v>
      </c>
      <c r="AH216" s="5" t="s">
        <v>304</v>
      </c>
      <c r="AI216" s="5"/>
    </row>
    <row r="217" spans="1:35" ht="27.75" customHeight="1">
      <c r="A217" s="5">
        <v>215</v>
      </c>
      <c r="B217" s="5" t="s">
        <v>297</v>
      </c>
      <c r="C217" s="5" t="s">
        <v>1210</v>
      </c>
      <c r="D217" s="5" t="s">
        <v>337</v>
      </c>
      <c r="E217" s="5">
        <v>34</v>
      </c>
      <c r="F217" s="5" t="s">
        <v>300</v>
      </c>
      <c r="G217" s="5" t="s">
        <v>301</v>
      </c>
      <c r="H217" s="5" t="s">
        <v>304</v>
      </c>
      <c r="I217" s="5" t="s">
        <v>304</v>
      </c>
      <c r="J217" s="5" t="s">
        <v>304</v>
      </c>
      <c r="K217" s="5" t="s">
        <v>301</v>
      </c>
      <c r="L217" s="5" t="s">
        <v>1211</v>
      </c>
      <c r="M217" s="5" t="s">
        <v>306</v>
      </c>
      <c r="N217" s="5" t="s">
        <v>304</v>
      </c>
      <c r="O217" s="5" t="s">
        <v>301</v>
      </c>
      <c r="P217" s="5" t="s">
        <v>304</v>
      </c>
      <c r="Q217" s="5" t="s">
        <v>307</v>
      </c>
      <c r="R217" s="5" t="s">
        <v>304</v>
      </c>
      <c r="S217" s="5" t="s">
        <v>307</v>
      </c>
      <c r="T217" s="5" t="s">
        <v>334</v>
      </c>
      <c r="U217" s="5" t="s">
        <v>304</v>
      </c>
      <c r="V217" s="5" t="s">
        <v>304</v>
      </c>
      <c r="W217" s="5" t="s">
        <v>304</v>
      </c>
      <c r="X217" s="5" t="s">
        <v>304</v>
      </c>
      <c r="Y217" s="5" t="s">
        <v>304</v>
      </c>
      <c r="Z217" s="5" t="s">
        <v>304</v>
      </c>
      <c r="AA217" s="5" t="s">
        <v>304</v>
      </c>
      <c r="AB217" s="5" t="s">
        <v>1212</v>
      </c>
      <c r="AC217" s="5" t="s">
        <v>304</v>
      </c>
      <c r="AD217" s="5" t="s">
        <v>301</v>
      </c>
      <c r="AE217" s="5" t="s">
        <v>307</v>
      </c>
      <c r="AF217" s="5" t="s">
        <v>304</v>
      </c>
      <c r="AG217" s="5" t="s">
        <v>304</v>
      </c>
      <c r="AH217" s="5" t="s">
        <v>304</v>
      </c>
      <c r="AI217" s="5"/>
    </row>
    <row r="218" spans="1:35" ht="41.25" customHeight="1">
      <c r="A218" s="5">
        <v>216</v>
      </c>
      <c r="B218" s="5" t="s">
        <v>297</v>
      </c>
      <c r="C218" s="5" t="s">
        <v>1213</v>
      </c>
      <c r="D218" s="5" t="s">
        <v>299</v>
      </c>
      <c r="E218" s="5">
        <v>30</v>
      </c>
      <c r="F218" s="5" t="s">
        <v>300</v>
      </c>
      <c r="G218" s="5" t="s">
        <v>307</v>
      </c>
      <c r="H218" s="5" t="s">
        <v>304</v>
      </c>
      <c r="I218" s="5" t="s">
        <v>304</v>
      </c>
      <c r="J218" s="5" t="s">
        <v>304</v>
      </c>
      <c r="K218" s="5" t="s">
        <v>301</v>
      </c>
      <c r="L218" s="5" t="s">
        <v>1214</v>
      </c>
      <c r="M218" s="5" t="s">
        <v>306</v>
      </c>
      <c r="N218" s="5" t="s">
        <v>304</v>
      </c>
      <c r="O218" s="5" t="s">
        <v>301</v>
      </c>
      <c r="P218" s="5" t="s">
        <v>304</v>
      </c>
      <c r="Q218" s="5" t="s">
        <v>301</v>
      </c>
      <c r="R218" s="5" t="s">
        <v>1215</v>
      </c>
      <c r="S218" s="5" t="s">
        <v>301</v>
      </c>
      <c r="T218" s="5" t="s">
        <v>1009</v>
      </c>
      <c r="U218" s="5" t="s">
        <v>304</v>
      </c>
      <c r="V218" s="5" t="s">
        <v>304</v>
      </c>
      <c r="W218" s="5" t="s">
        <v>304</v>
      </c>
      <c r="X218" s="5" t="s">
        <v>304</v>
      </c>
      <c r="Y218" s="5" t="s">
        <v>304</v>
      </c>
      <c r="Z218" s="5" t="s">
        <v>304</v>
      </c>
      <c r="AA218" s="5" t="s">
        <v>304</v>
      </c>
      <c r="AB218" s="5" t="s">
        <v>1216</v>
      </c>
      <c r="AC218" s="5" t="s">
        <v>304</v>
      </c>
      <c r="AD218" s="5" t="s">
        <v>307</v>
      </c>
      <c r="AE218" s="5" t="s">
        <v>307</v>
      </c>
      <c r="AF218" s="5" t="s">
        <v>304</v>
      </c>
      <c r="AG218" s="5" t="s">
        <v>304</v>
      </c>
      <c r="AH218" s="5" t="s">
        <v>304</v>
      </c>
      <c r="AI218" s="5"/>
    </row>
    <row r="219" spans="1:35" ht="27.75" customHeight="1">
      <c r="A219" s="5">
        <v>217</v>
      </c>
      <c r="B219" s="5" t="s">
        <v>297</v>
      </c>
      <c r="C219" s="5" t="s">
        <v>733</v>
      </c>
      <c r="D219" s="5" t="s">
        <v>337</v>
      </c>
      <c r="E219" s="5">
        <v>34</v>
      </c>
      <c r="F219" s="5" t="s">
        <v>300</v>
      </c>
      <c r="G219" s="5" t="s">
        <v>307</v>
      </c>
      <c r="H219" s="5" t="s">
        <v>304</v>
      </c>
      <c r="I219" s="5" t="s">
        <v>304</v>
      </c>
      <c r="J219" s="5" t="s">
        <v>304</v>
      </c>
      <c r="K219" s="5" t="s">
        <v>301</v>
      </c>
      <c r="L219" s="5" t="s">
        <v>304</v>
      </c>
      <c r="M219" s="5" t="s">
        <v>306</v>
      </c>
      <c r="N219" s="5" t="s">
        <v>304</v>
      </c>
      <c r="O219" s="5" t="s">
        <v>301</v>
      </c>
      <c r="P219" s="5" t="s">
        <v>304</v>
      </c>
      <c r="Q219" s="5" t="s">
        <v>301</v>
      </c>
      <c r="R219" s="5" t="s">
        <v>304</v>
      </c>
      <c r="S219" s="5" t="s">
        <v>307</v>
      </c>
      <c r="T219" s="5" t="s">
        <v>304</v>
      </c>
      <c r="U219" s="5" t="s">
        <v>304</v>
      </c>
      <c r="V219" s="5" t="s">
        <v>304</v>
      </c>
      <c r="W219" s="5" t="s">
        <v>304</v>
      </c>
      <c r="X219" s="5" t="s">
        <v>304</v>
      </c>
      <c r="Y219" s="5" t="s">
        <v>304</v>
      </c>
      <c r="Z219" s="5" t="s">
        <v>304</v>
      </c>
      <c r="AA219" s="5" t="s">
        <v>304</v>
      </c>
      <c r="AB219" s="5" t="s">
        <v>1217</v>
      </c>
      <c r="AC219" s="5" t="s">
        <v>327</v>
      </c>
      <c r="AD219" s="5" t="s">
        <v>307</v>
      </c>
      <c r="AE219" s="5" t="s">
        <v>307</v>
      </c>
      <c r="AF219" s="5" t="s">
        <v>304</v>
      </c>
      <c r="AG219" s="5" t="s">
        <v>304</v>
      </c>
      <c r="AH219" s="5" t="s">
        <v>304</v>
      </c>
      <c r="AI219" s="5"/>
    </row>
    <row r="220" spans="1:35" ht="27.75" customHeight="1">
      <c r="A220" s="5">
        <v>218</v>
      </c>
      <c r="B220" s="5" t="s">
        <v>297</v>
      </c>
      <c r="C220" s="5" t="s">
        <v>1204</v>
      </c>
      <c r="D220" s="5" t="s">
        <v>299</v>
      </c>
      <c r="E220" s="5">
        <v>60</v>
      </c>
      <c r="F220" s="5" t="s">
        <v>300</v>
      </c>
      <c r="G220" s="5" t="s">
        <v>301</v>
      </c>
      <c r="H220" s="5" t="s">
        <v>328</v>
      </c>
      <c r="I220" s="5" t="s">
        <v>304</v>
      </c>
      <c r="J220" s="5" t="s">
        <v>304</v>
      </c>
      <c r="K220" s="5" t="s">
        <v>301</v>
      </c>
      <c r="L220" s="5" t="s">
        <v>304</v>
      </c>
      <c r="M220" s="5" t="s">
        <v>306</v>
      </c>
      <c r="N220" s="5" t="s">
        <v>304</v>
      </c>
      <c r="O220" s="5" t="s">
        <v>301</v>
      </c>
      <c r="P220" s="5" t="s">
        <v>304</v>
      </c>
      <c r="Q220" s="5" t="s">
        <v>301</v>
      </c>
      <c r="R220" s="5" t="s">
        <v>304</v>
      </c>
      <c r="S220" s="5" t="s">
        <v>307</v>
      </c>
      <c r="T220" s="5" t="s">
        <v>304</v>
      </c>
      <c r="U220" s="5" t="s">
        <v>304</v>
      </c>
      <c r="V220" s="5" t="s">
        <v>304</v>
      </c>
      <c r="W220" s="5" t="s">
        <v>304</v>
      </c>
      <c r="X220" s="5" t="s">
        <v>304</v>
      </c>
      <c r="Y220" s="5" t="s">
        <v>304</v>
      </c>
      <c r="Z220" s="5" t="s">
        <v>304</v>
      </c>
      <c r="AA220" s="5" t="s">
        <v>304</v>
      </c>
      <c r="AB220" s="5" t="s">
        <v>1218</v>
      </c>
      <c r="AC220" s="5" t="s">
        <v>327</v>
      </c>
      <c r="AD220" s="5" t="s">
        <v>307</v>
      </c>
      <c r="AE220" s="5" t="s">
        <v>307</v>
      </c>
      <c r="AF220" s="5" t="s">
        <v>304</v>
      </c>
      <c r="AG220" s="5" t="s">
        <v>304</v>
      </c>
      <c r="AH220" s="5" t="s">
        <v>304</v>
      </c>
      <c r="AI220" s="5"/>
    </row>
    <row r="221" spans="1:35" ht="68.25" customHeight="1">
      <c r="A221" s="5">
        <v>219</v>
      </c>
      <c r="B221" s="5" t="s">
        <v>297</v>
      </c>
      <c r="C221" s="5" t="s">
        <v>1219</v>
      </c>
      <c r="D221" s="5" t="s">
        <v>337</v>
      </c>
      <c r="E221" s="5">
        <v>39</v>
      </c>
      <c r="F221" s="5" t="s">
        <v>300</v>
      </c>
      <c r="G221" s="5" t="s">
        <v>307</v>
      </c>
      <c r="H221" s="5" t="s">
        <v>304</v>
      </c>
      <c r="I221" s="5" t="s">
        <v>304</v>
      </c>
      <c r="J221" s="5" t="s">
        <v>304</v>
      </c>
      <c r="K221" s="5" t="s">
        <v>304</v>
      </c>
      <c r="L221" s="5" t="s">
        <v>1220</v>
      </c>
      <c r="M221" s="5" t="s">
        <v>843</v>
      </c>
      <c r="N221" s="5" t="s">
        <v>304</v>
      </c>
      <c r="O221" s="5" t="s">
        <v>307</v>
      </c>
      <c r="P221" s="5" t="s">
        <v>304</v>
      </c>
      <c r="Q221" s="5" t="s">
        <v>301</v>
      </c>
      <c r="R221" s="5" t="s">
        <v>304</v>
      </c>
      <c r="S221" s="5" t="s">
        <v>307</v>
      </c>
      <c r="T221" s="5" t="s">
        <v>304</v>
      </c>
      <c r="U221" s="5" t="s">
        <v>304</v>
      </c>
      <c r="V221" s="5" t="s">
        <v>304</v>
      </c>
      <c r="W221" s="5" t="s">
        <v>304</v>
      </c>
      <c r="X221" s="5" t="s">
        <v>304</v>
      </c>
      <c r="Y221" s="5" t="s">
        <v>304</v>
      </c>
      <c r="Z221" s="5" t="s">
        <v>304</v>
      </c>
      <c r="AA221" s="5" t="s">
        <v>304</v>
      </c>
      <c r="AB221" s="5" t="s">
        <v>1221</v>
      </c>
      <c r="AC221" s="5" t="s">
        <v>371</v>
      </c>
      <c r="AD221" s="5" t="s">
        <v>301</v>
      </c>
      <c r="AE221" s="5" t="s">
        <v>307</v>
      </c>
      <c r="AF221" s="5" t="s">
        <v>304</v>
      </c>
      <c r="AG221" s="5" t="s">
        <v>304</v>
      </c>
      <c r="AH221" s="5" t="s">
        <v>304</v>
      </c>
      <c r="AI221" s="5" t="s">
        <v>1222</v>
      </c>
    </row>
    <row r="222" spans="1:35" ht="15" customHeight="1">
      <c r="A222" s="5">
        <v>220</v>
      </c>
      <c r="B222" s="5" t="s">
        <v>297</v>
      </c>
      <c r="C222" s="5" t="s">
        <v>1223</v>
      </c>
      <c r="D222" s="5" t="s">
        <v>337</v>
      </c>
      <c r="E222" s="5">
        <v>50</v>
      </c>
      <c r="F222" s="5" t="s">
        <v>300</v>
      </c>
      <c r="G222" s="5" t="s">
        <v>301</v>
      </c>
      <c r="H222" s="5" t="s">
        <v>334</v>
      </c>
      <c r="I222" s="5" t="s">
        <v>304</v>
      </c>
      <c r="J222" s="5" t="s">
        <v>304</v>
      </c>
      <c r="K222" s="5" t="s">
        <v>304</v>
      </c>
      <c r="L222" s="5" t="s">
        <v>1062</v>
      </c>
      <c r="M222" s="5" t="s">
        <v>304</v>
      </c>
      <c r="N222" s="5" t="s">
        <v>304</v>
      </c>
      <c r="O222" s="5" t="s">
        <v>304</v>
      </c>
      <c r="P222" s="5" t="s">
        <v>304</v>
      </c>
      <c r="Q222" s="5" t="s">
        <v>304</v>
      </c>
      <c r="R222" s="5" t="s">
        <v>304</v>
      </c>
      <c r="S222" s="5" t="s">
        <v>307</v>
      </c>
      <c r="T222" s="5" t="s">
        <v>304</v>
      </c>
      <c r="U222" s="5" t="s">
        <v>304</v>
      </c>
      <c r="V222" s="5" t="s">
        <v>304</v>
      </c>
      <c r="W222" s="5" t="s">
        <v>304</v>
      </c>
      <c r="X222" s="5" t="s">
        <v>1224</v>
      </c>
      <c r="Y222" s="5" t="s">
        <v>304</v>
      </c>
      <c r="Z222" s="5" t="s">
        <v>304</v>
      </c>
      <c r="AA222" s="5" t="s">
        <v>304</v>
      </c>
      <c r="AB222" s="5" t="s">
        <v>304</v>
      </c>
      <c r="AC222" s="5" t="s">
        <v>1224</v>
      </c>
      <c r="AD222" s="5" t="s">
        <v>301</v>
      </c>
      <c r="AE222" s="5" t="s">
        <v>416</v>
      </c>
      <c r="AF222" s="5" t="s">
        <v>304</v>
      </c>
      <c r="AG222" s="5" t="s">
        <v>304</v>
      </c>
      <c r="AH222" s="5" t="s">
        <v>304</v>
      </c>
      <c r="AI222" s="5"/>
    </row>
    <row r="223" spans="1:35" ht="54.75" customHeight="1">
      <c r="A223" s="5">
        <v>221</v>
      </c>
      <c r="B223" s="5" t="s">
        <v>297</v>
      </c>
      <c r="C223" s="5" t="s">
        <v>1225</v>
      </c>
      <c r="D223" s="5" t="s">
        <v>337</v>
      </c>
      <c r="E223" s="5">
        <v>30</v>
      </c>
      <c r="F223" s="5" t="s">
        <v>300</v>
      </c>
      <c r="G223" s="5" t="s">
        <v>301</v>
      </c>
      <c r="H223" s="5" t="s">
        <v>304</v>
      </c>
      <c r="I223" s="5" t="s">
        <v>304</v>
      </c>
      <c r="J223" s="5" t="s">
        <v>304</v>
      </c>
      <c r="K223" s="5" t="s">
        <v>304</v>
      </c>
      <c r="L223" s="5" t="s">
        <v>1226</v>
      </c>
      <c r="M223" s="5" t="s">
        <v>306</v>
      </c>
      <c r="N223" s="5" t="s">
        <v>304</v>
      </c>
      <c r="O223" s="5" t="s">
        <v>307</v>
      </c>
      <c r="P223" s="5" t="s">
        <v>304</v>
      </c>
      <c r="Q223" s="5" t="s">
        <v>301</v>
      </c>
      <c r="R223" s="5" t="s">
        <v>304</v>
      </c>
      <c r="S223" s="5" t="s">
        <v>307</v>
      </c>
      <c r="T223" s="5" t="s">
        <v>304</v>
      </c>
      <c r="U223" s="5" t="s">
        <v>304</v>
      </c>
      <c r="V223" s="5" t="s">
        <v>304</v>
      </c>
      <c r="W223" s="5" t="s">
        <v>304</v>
      </c>
      <c r="X223" s="5" t="s">
        <v>818</v>
      </c>
      <c r="Y223" s="5" t="s">
        <v>304</v>
      </c>
      <c r="Z223" s="5" t="s">
        <v>304</v>
      </c>
      <c r="AA223" s="5" t="s">
        <v>304</v>
      </c>
      <c r="AB223" s="5" t="s">
        <v>1227</v>
      </c>
      <c r="AC223" s="5" t="s">
        <v>1228</v>
      </c>
      <c r="AD223" s="5" t="s">
        <v>301</v>
      </c>
      <c r="AE223" s="5" t="s">
        <v>307</v>
      </c>
      <c r="AF223" s="5" t="s">
        <v>304</v>
      </c>
      <c r="AG223" s="5" t="s">
        <v>304</v>
      </c>
      <c r="AH223" s="5" t="s">
        <v>304</v>
      </c>
      <c r="AI223" s="5" t="s">
        <v>1229</v>
      </c>
    </row>
    <row r="224" spans="1:35" ht="27.75" customHeight="1">
      <c r="A224" s="5">
        <v>222</v>
      </c>
      <c r="B224" s="5" t="s">
        <v>297</v>
      </c>
      <c r="C224" s="5" t="s">
        <v>1225</v>
      </c>
      <c r="D224" s="5" t="s">
        <v>337</v>
      </c>
      <c r="E224" s="5">
        <v>32</v>
      </c>
      <c r="F224" s="5" t="s">
        <v>300</v>
      </c>
      <c r="G224" s="5" t="s">
        <v>307</v>
      </c>
      <c r="H224" s="5" t="s">
        <v>304</v>
      </c>
      <c r="I224" s="5" t="s">
        <v>304</v>
      </c>
      <c r="J224" s="5" t="s">
        <v>304</v>
      </c>
      <c r="K224" s="5" t="s">
        <v>301</v>
      </c>
      <c r="L224" s="5" t="s">
        <v>1230</v>
      </c>
      <c r="M224" s="5" t="s">
        <v>306</v>
      </c>
      <c r="N224" s="5" t="s">
        <v>304</v>
      </c>
      <c r="O224" s="5" t="s">
        <v>301</v>
      </c>
      <c r="P224" s="5" t="s">
        <v>304</v>
      </c>
      <c r="Q224" s="5" t="s">
        <v>301</v>
      </c>
      <c r="R224" s="5" t="s">
        <v>1231</v>
      </c>
      <c r="S224" s="5" t="s">
        <v>301</v>
      </c>
      <c r="T224" s="5" t="s">
        <v>1232</v>
      </c>
      <c r="U224" s="5" t="s">
        <v>304</v>
      </c>
      <c r="V224" s="5" t="s">
        <v>304</v>
      </c>
      <c r="W224" s="5" t="s">
        <v>304</v>
      </c>
      <c r="X224" s="5" t="s">
        <v>301</v>
      </c>
      <c r="Y224" s="5" t="s">
        <v>304</v>
      </c>
      <c r="Z224" s="5" t="s">
        <v>304</v>
      </c>
      <c r="AA224" s="5" t="s">
        <v>304</v>
      </c>
      <c r="AB224" s="5" t="s">
        <v>1233</v>
      </c>
      <c r="AC224" s="5" t="s">
        <v>327</v>
      </c>
      <c r="AD224" s="5" t="s">
        <v>301</v>
      </c>
      <c r="AE224" s="5" t="s">
        <v>307</v>
      </c>
      <c r="AF224" s="5" t="s">
        <v>304</v>
      </c>
      <c r="AG224" s="5" t="s">
        <v>304</v>
      </c>
      <c r="AH224" s="5" t="s">
        <v>304</v>
      </c>
      <c r="AI224" s="5"/>
    </row>
    <row r="225" spans="1:35" ht="27.75" customHeight="1">
      <c r="A225" s="5">
        <v>223</v>
      </c>
      <c r="B225" s="5" t="s">
        <v>297</v>
      </c>
      <c r="C225" s="5" t="s">
        <v>1204</v>
      </c>
      <c r="D225" s="5" t="s">
        <v>299</v>
      </c>
      <c r="E225" s="5">
        <v>35</v>
      </c>
      <c r="F225" s="5" t="s">
        <v>300</v>
      </c>
      <c r="G225" s="5" t="s">
        <v>307</v>
      </c>
      <c r="H225" s="5" t="s">
        <v>304</v>
      </c>
      <c r="I225" s="5" t="s">
        <v>304</v>
      </c>
      <c r="J225" s="5" t="s">
        <v>304</v>
      </c>
      <c r="K225" s="5" t="s">
        <v>301</v>
      </c>
      <c r="L225" s="5" t="s">
        <v>304</v>
      </c>
      <c r="M225" s="5" t="s">
        <v>306</v>
      </c>
      <c r="N225" s="5" t="s">
        <v>304</v>
      </c>
      <c r="O225" s="5" t="s">
        <v>301</v>
      </c>
      <c r="P225" s="5" t="s">
        <v>304</v>
      </c>
      <c r="Q225" s="5" t="s">
        <v>301</v>
      </c>
      <c r="R225" s="5" t="s">
        <v>1234</v>
      </c>
      <c r="S225" s="5" t="s">
        <v>307</v>
      </c>
      <c r="T225" s="5" t="s">
        <v>304</v>
      </c>
      <c r="U225" s="5" t="s">
        <v>304</v>
      </c>
      <c r="V225" s="5" t="s">
        <v>304</v>
      </c>
      <c r="W225" s="5" t="s">
        <v>304</v>
      </c>
      <c r="X225" s="5" t="s">
        <v>304</v>
      </c>
      <c r="Y225" s="5" t="s">
        <v>304</v>
      </c>
      <c r="Z225" s="5" t="s">
        <v>304</v>
      </c>
      <c r="AA225" s="5" t="s">
        <v>304</v>
      </c>
      <c r="AB225" s="5" t="s">
        <v>1235</v>
      </c>
      <c r="AC225" s="5" t="s">
        <v>304</v>
      </c>
      <c r="AD225" s="5" t="s">
        <v>307</v>
      </c>
      <c r="AE225" s="5" t="s">
        <v>307</v>
      </c>
      <c r="AF225" s="5" t="s">
        <v>304</v>
      </c>
      <c r="AG225" s="5" t="s">
        <v>304</v>
      </c>
      <c r="AH225" s="5" t="s">
        <v>304</v>
      </c>
      <c r="AI225" s="5"/>
    </row>
    <row r="226" spans="1:35" ht="27.75" customHeight="1">
      <c r="A226" s="5">
        <v>224</v>
      </c>
      <c r="B226" s="5" t="s">
        <v>297</v>
      </c>
      <c r="C226" s="5" t="s">
        <v>953</v>
      </c>
      <c r="D226" s="5" t="s">
        <v>299</v>
      </c>
      <c r="E226" s="5">
        <v>27</v>
      </c>
      <c r="F226" s="5" t="s">
        <v>300</v>
      </c>
      <c r="G226" s="5" t="s">
        <v>301</v>
      </c>
      <c r="H226" s="5" t="s">
        <v>1236</v>
      </c>
      <c r="I226" s="5" t="s">
        <v>304</v>
      </c>
      <c r="J226" s="5" t="s">
        <v>304</v>
      </c>
      <c r="K226" s="5" t="s">
        <v>304</v>
      </c>
      <c r="L226" s="5" t="s">
        <v>1237</v>
      </c>
      <c r="M226" s="5" t="s">
        <v>306</v>
      </c>
      <c r="N226" s="5" t="s">
        <v>304</v>
      </c>
      <c r="O226" s="5" t="s">
        <v>301</v>
      </c>
      <c r="P226" s="5" t="s">
        <v>304</v>
      </c>
      <c r="Q226" s="5" t="s">
        <v>301</v>
      </c>
      <c r="R226" s="5" t="s">
        <v>1234</v>
      </c>
      <c r="S226" s="5" t="s">
        <v>307</v>
      </c>
      <c r="T226" s="5" t="s">
        <v>304</v>
      </c>
      <c r="U226" s="5" t="s">
        <v>304</v>
      </c>
      <c r="V226" s="5" t="s">
        <v>304</v>
      </c>
      <c r="W226" s="5" t="s">
        <v>304</v>
      </c>
      <c r="X226" s="5" t="s">
        <v>304</v>
      </c>
      <c r="Y226" s="5" t="s">
        <v>304</v>
      </c>
      <c r="Z226" s="5" t="s">
        <v>304</v>
      </c>
      <c r="AA226" s="5" t="s">
        <v>304</v>
      </c>
      <c r="AB226" s="5" t="s">
        <v>1238</v>
      </c>
      <c r="AC226" s="5" t="s">
        <v>1239</v>
      </c>
      <c r="AD226" s="5" t="s">
        <v>301</v>
      </c>
      <c r="AE226" s="5" t="s">
        <v>307</v>
      </c>
      <c r="AF226" s="5" t="s">
        <v>304</v>
      </c>
      <c r="AG226" s="5" t="s">
        <v>304</v>
      </c>
      <c r="AH226" s="5" t="s">
        <v>304</v>
      </c>
      <c r="AI226" s="5"/>
    </row>
    <row r="227" spans="1:35" ht="68.25" customHeight="1">
      <c r="A227" s="5">
        <v>225</v>
      </c>
      <c r="B227" s="5" t="s">
        <v>297</v>
      </c>
      <c r="C227" s="5" t="s">
        <v>733</v>
      </c>
      <c r="D227" s="5" t="s">
        <v>337</v>
      </c>
      <c r="E227" s="5">
        <v>28</v>
      </c>
      <c r="F227" s="5" t="s">
        <v>300</v>
      </c>
      <c r="G227" s="5" t="s">
        <v>301</v>
      </c>
      <c r="H227" s="5" t="s">
        <v>1240</v>
      </c>
      <c r="I227" s="5" t="s">
        <v>1241</v>
      </c>
      <c r="J227" s="5" t="s">
        <v>304</v>
      </c>
      <c r="K227" s="5" t="s">
        <v>301</v>
      </c>
      <c r="L227" s="5" t="s">
        <v>1242</v>
      </c>
      <c r="M227" s="5" t="s">
        <v>843</v>
      </c>
      <c r="N227" s="5" t="s">
        <v>304</v>
      </c>
      <c r="O227" s="5" t="s">
        <v>307</v>
      </c>
      <c r="P227" s="5" t="s">
        <v>304</v>
      </c>
      <c r="Q227" s="5" t="s">
        <v>301</v>
      </c>
      <c r="R227" s="5" t="s">
        <v>304</v>
      </c>
      <c r="S227" s="5" t="s">
        <v>301</v>
      </c>
      <c r="T227" s="5" t="s">
        <v>1243</v>
      </c>
      <c r="U227" s="5" t="s">
        <v>304</v>
      </c>
      <c r="V227" s="5" t="s">
        <v>304</v>
      </c>
      <c r="W227" s="5" t="s">
        <v>304</v>
      </c>
      <c r="X227" s="5" t="s">
        <v>301</v>
      </c>
      <c r="Y227" s="5" t="s">
        <v>304</v>
      </c>
      <c r="Z227" s="5" t="s">
        <v>304</v>
      </c>
      <c r="AA227" s="5" t="s">
        <v>304</v>
      </c>
      <c r="AB227" s="5" t="s">
        <v>1244</v>
      </c>
      <c r="AC227" s="5" t="s">
        <v>371</v>
      </c>
      <c r="AD227" s="5" t="s">
        <v>301</v>
      </c>
      <c r="AE227" s="5" t="s">
        <v>307</v>
      </c>
      <c r="AF227" s="5" t="s">
        <v>304</v>
      </c>
      <c r="AG227" s="5" t="s">
        <v>304</v>
      </c>
      <c r="AH227" s="5" t="s">
        <v>304</v>
      </c>
      <c r="AI227" s="5"/>
    </row>
    <row r="228" spans="1:35" ht="41.25" customHeight="1">
      <c r="A228" s="5">
        <v>226</v>
      </c>
      <c r="B228" s="5" t="s">
        <v>297</v>
      </c>
      <c r="C228" s="5" t="s">
        <v>342</v>
      </c>
      <c r="D228" s="5" t="s">
        <v>299</v>
      </c>
      <c r="E228" s="5">
        <v>44</v>
      </c>
      <c r="F228" s="5" t="s">
        <v>300</v>
      </c>
      <c r="G228" s="5" t="s">
        <v>307</v>
      </c>
      <c r="H228" s="5" t="s">
        <v>304</v>
      </c>
      <c r="I228" s="5" t="s">
        <v>304</v>
      </c>
      <c r="J228" s="5" t="s">
        <v>304</v>
      </c>
      <c r="K228" s="5" t="s">
        <v>304</v>
      </c>
      <c r="L228" s="5" t="s">
        <v>1245</v>
      </c>
      <c r="M228" s="5" t="s">
        <v>306</v>
      </c>
      <c r="N228" s="5" t="s">
        <v>304</v>
      </c>
      <c r="O228" s="5" t="s">
        <v>307</v>
      </c>
      <c r="P228" s="5" t="s">
        <v>304</v>
      </c>
      <c r="Q228" s="5" t="s">
        <v>301</v>
      </c>
      <c r="R228" s="5" t="s">
        <v>1246</v>
      </c>
      <c r="S228" s="5" t="s">
        <v>307</v>
      </c>
      <c r="T228" s="5" t="s">
        <v>304</v>
      </c>
      <c r="U228" s="5" t="s">
        <v>304</v>
      </c>
      <c r="V228" s="5" t="s">
        <v>304</v>
      </c>
      <c r="W228" s="5" t="s">
        <v>304</v>
      </c>
      <c r="X228" s="5" t="s">
        <v>304</v>
      </c>
      <c r="Y228" s="5" t="s">
        <v>304</v>
      </c>
      <c r="Z228" s="5" t="s">
        <v>304</v>
      </c>
      <c r="AA228" s="5" t="s">
        <v>304</v>
      </c>
      <c r="AB228" s="5" t="s">
        <v>1247</v>
      </c>
      <c r="AC228" s="5" t="s">
        <v>1224</v>
      </c>
      <c r="AD228" s="5" t="s">
        <v>307</v>
      </c>
      <c r="AE228" s="5" t="s">
        <v>307</v>
      </c>
      <c r="AF228" s="5" t="s">
        <v>1248</v>
      </c>
      <c r="AG228" s="5" t="s">
        <v>307</v>
      </c>
      <c r="AH228" s="5" t="s">
        <v>1249</v>
      </c>
      <c r="AI228" s="5" t="s">
        <v>1250</v>
      </c>
    </row>
    <row r="229" spans="1:35" ht="27.75" customHeight="1">
      <c r="A229" s="5">
        <v>227</v>
      </c>
      <c r="B229" s="5" t="s">
        <v>297</v>
      </c>
      <c r="C229" s="5" t="s">
        <v>1251</v>
      </c>
      <c r="D229" s="5" t="s">
        <v>488</v>
      </c>
      <c r="E229" s="5">
        <v>53</v>
      </c>
      <c r="F229" s="5" t="s">
        <v>300</v>
      </c>
      <c r="G229" s="5" t="s">
        <v>307</v>
      </c>
      <c r="H229" s="5" t="s">
        <v>304</v>
      </c>
      <c r="I229" s="5" t="s">
        <v>304</v>
      </c>
      <c r="J229" s="5" t="s">
        <v>304</v>
      </c>
      <c r="K229" s="5" t="s">
        <v>304</v>
      </c>
      <c r="L229" s="5" t="s">
        <v>1252</v>
      </c>
      <c r="M229" s="5" t="s">
        <v>306</v>
      </c>
      <c r="N229" s="5" t="s">
        <v>304</v>
      </c>
      <c r="O229" s="5" t="s">
        <v>307</v>
      </c>
      <c r="P229" s="5" t="s">
        <v>304</v>
      </c>
      <c r="Q229" s="5" t="s">
        <v>304</v>
      </c>
      <c r="R229" s="5" t="s">
        <v>1246</v>
      </c>
      <c r="S229" s="5" t="s">
        <v>301</v>
      </c>
      <c r="T229" s="5" t="s">
        <v>304</v>
      </c>
      <c r="U229" s="5" t="s">
        <v>304</v>
      </c>
      <c r="V229" s="5" t="s">
        <v>304</v>
      </c>
      <c r="W229" s="5" t="s">
        <v>304</v>
      </c>
      <c r="X229" s="5" t="s">
        <v>304</v>
      </c>
      <c r="Y229" s="5" t="s">
        <v>304</v>
      </c>
      <c r="Z229" s="5" t="s">
        <v>304</v>
      </c>
      <c r="AA229" s="5" t="s">
        <v>304</v>
      </c>
      <c r="AB229" s="5" t="s">
        <v>304</v>
      </c>
      <c r="AC229" s="5" t="s">
        <v>304</v>
      </c>
      <c r="AD229" s="5" t="s">
        <v>1253</v>
      </c>
      <c r="AE229" s="5" t="s">
        <v>307</v>
      </c>
      <c r="AF229" s="5" t="s">
        <v>304</v>
      </c>
      <c r="AG229" s="5" t="s">
        <v>304</v>
      </c>
      <c r="AH229" s="5" t="s">
        <v>304</v>
      </c>
      <c r="AI229" s="5"/>
    </row>
    <row r="230" spans="1:35" ht="95.25" customHeight="1">
      <c r="A230" s="5">
        <v>228</v>
      </c>
      <c r="B230" s="5" t="s">
        <v>297</v>
      </c>
      <c r="C230" s="5" t="s">
        <v>733</v>
      </c>
      <c r="D230" s="5" t="s">
        <v>337</v>
      </c>
      <c r="E230" s="5">
        <v>64</v>
      </c>
      <c r="F230" s="5" t="s">
        <v>300</v>
      </c>
      <c r="G230" s="5" t="s">
        <v>301</v>
      </c>
      <c r="H230" s="5" t="s">
        <v>1254</v>
      </c>
      <c r="I230" s="5" t="s">
        <v>1255</v>
      </c>
      <c r="J230" s="5" t="s">
        <v>304</v>
      </c>
      <c r="K230" s="5" t="s">
        <v>304</v>
      </c>
      <c r="L230" s="5" t="s">
        <v>304</v>
      </c>
      <c r="M230" s="5" t="s">
        <v>313</v>
      </c>
      <c r="N230" s="5" t="s">
        <v>304</v>
      </c>
      <c r="O230" s="5" t="s">
        <v>304</v>
      </c>
      <c r="P230" s="5" t="s">
        <v>304</v>
      </c>
      <c r="Q230" s="5" t="s">
        <v>304</v>
      </c>
      <c r="R230" s="5" t="s">
        <v>304</v>
      </c>
      <c r="S230" s="5" t="s">
        <v>301</v>
      </c>
      <c r="T230" s="5" t="s">
        <v>1256</v>
      </c>
      <c r="U230" s="5" t="s">
        <v>304</v>
      </c>
      <c r="V230" s="5" t="s">
        <v>304</v>
      </c>
      <c r="W230" s="5" t="s">
        <v>304</v>
      </c>
      <c r="X230" s="5" t="s">
        <v>301</v>
      </c>
      <c r="Y230" s="5" t="s">
        <v>304</v>
      </c>
      <c r="Z230" s="5" t="s">
        <v>304</v>
      </c>
      <c r="AA230" s="5" t="s">
        <v>304</v>
      </c>
      <c r="AB230" s="5" t="s">
        <v>1257</v>
      </c>
      <c r="AC230" s="5" t="s">
        <v>371</v>
      </c>
      <c r="AD230" s="5" t="s">
        <v>301</v>
      </c>
      <c r="AE230" s="5" t="s">
        <v>307</v>
      </c>
      <c r="AF230" s="5" t="s">
        <v>304</v>
      </c>
      <c r="AG230" s="5" t="s">
        <v>304</v>
      </c>
      <c r="AH230" s="5" t="s">
        <v>304</v>
      </c>
      <c r="AI230" s="5" t="s">
        <v>1258</v>
      </c>
    </row>
    <row r="231" spans="1:35" ht="81.75" customHeight="1">
      <c r="A231" s="5">
        <v>229</v>
      </c>
      <c r="B231" s="5" t="s">
        <v>297</v>
      </c>
      <c r="C231" s="5" t="s">
        <v>733</v>
      </c>
      <c r="D231" s="5" t="s">
        <v>337</v>
      </c>
      <c r="E231" s="5">
        <v>57</v>
      </c>
      <c r="F231" s="5" t="s">
        <v>300</v>
      </c>
      <c r="G231" s="5" t="s">
        <v>301</v>
      </c>
      <c r="H231" s="5" t="s">
        <v>1259</v>
      </c>
      <c r="I231" s="5" t="s">
        <v>1260</v>
      </c>
      <c r="J231" s="5" t="s">
        <v>304</v>
      </c>
      <c r="K231" s="5" t="s">
        <v>301</v>
      </c>
      <c r="L231" s="5" t="s">
        <v>304</v>
      </c>
      <c r="M231" s="5" t="s">
        <v>306</v>
      </c>
      <c r="N231" s="5" t="s">
        <v>304</v>
      </c>
      <c r="O231" s="5" t="s">
        <v>307</v>
      </c>
      <c r="P231" s="5" t="s">
        <v>304</v>
      </c>
      <c r="Q231" s="5" t="s">
        <v>301</v>
      </c>
      <c r="R231" s="5" t="s">
        <v>304</v>
      </c>
      <c r="S231" s="5" t="s">
        <v>301</v>
      </c>
      <c r="T231" s="5" t="s">
        <v>1261</v>
      </c>
      <c r="U231" s="5" t="s">
        <v>1262</v>
      </c>
      <c r="V231" s="5" t="s">
        <v>304</v>
      </c>
      <c r="W231" s="5" t="s">
        <v>304</v>
      </c>
      <c r="X231" s="5" t="s">
        <v>301</v>
      </c>
      <c r="Y231" s="5" t="s">
        <v>304</v>
      </c>
      <c r="Z231" s="5" t="s">
        <v>304</v>
      </c>
      <c r="AA231" s="5" t="s">
        <v>304</v>
      </c>
      <c r="AB231" s="5" t="s">
        <v>1263</v>
      </c>
      <c r="AC231" s="5" t="s">
        <v>819</v>
      </c>
      <c r="AD231" s="5" t="s">
        <v>301</v>
      </c>
      <c r="AE231" s="5">
        <v>8</v>
      </c>
      <c r="AF231" s="5" t="s">
        <v>301</v>
      </c>
      <c r="AG231" s="5" t="s">
        <v>307</v>
      </c>
      <c r="AH231" s="5" t="s">
        <v>1264</v>
      </c>
      <c r="AI231" s="5"/>
    </row>
    <row r="232" spans="1:35" ht="68.25" customHeight="1">
      <c r="A232" s="5">
        <v>230</v>
      </c>
      <c r="B232" s="5" t="s">
        <v>297</v>
      </c>
      <c r="C232" s="5" t="s">
        <v>893</v>
      </c>
      <c r="D232" s="5" t="s">
        <v>488</v>
      </c>
      <c r="E232" s="5">
        <v>40</v>
      </c>
      <c r="F232" s="5" t="s">
        <v>300</v>
      </c>
      <c r="G232" s="5" t="s">
        <v>307</v>
      </c>
      <c r="H232" s="5" t="s">
        <v>304</v>
      </c>
      <c r="I232" s="5" t="s">
        <v>304</v>
      </c>
      <c r="J232" s="5" t="s">
        <v>304</v>
      </c>
      <c r="K232" s="5" t="s">
        <v>301</v>
      </c>
      <c r="L232" s="5" t="s">
        <v>304</v>
      </c>
      <c r="M232" s="5" t="s">
        <v>306</v>
      </c>
      <c r="N232" s="5" t="s">
        <v>1265</v>
      </c>
      <c r="O232" s="5" t="s">
        <v>307</v>
      </c>
      <c r="P232" s="5" t="s">
        <v>304</v>
      </c>
      <c r="Q232" s="5" t="s">
        <v>301</v>
      </c>
      <c r="R232" s="5" t="s">
        <v>304</v>
      </c>
      <c r="S232" s="5" t="s">
        <v>301</v>
      </c>
      <c r="T232" s="5" t="s">
        <v>1266</v>
      </c>
      <c r="U232" s="5" t="s">
        <v>1267</v>
      </c>
      <c r="V232" s="5" t="s">
        <v>304</v>
      </c>
      <c r="W232" s="5" t="s">
        <v>304</v>
      </c>
      <c r="X232" s="5" t="s">
        <v>304</v>
      </c>
      <c r="Y232" s="5" t="s">
        <v>304</v>
      </c>
      <c r="Z232" s="5" t="s">
        <v>304</v>
      </c>
      <c r="AA232" s="5" t="s">
        <v>304</v>
      </c>
      <c r="AB232" s="5" t="s">
        <v>1268</v>
      </c>
      <c r="AC232" s="5" t="s">
        <v>327</v>
      </c>
      <c r="AD232" s="5" t="s">
        <v>307</v>
      </c>
      <c r="AE232" s="5" t="s">
        <v>1269</v>
      </c>
      <c r="AF232" s="5" t="s">
        <v>301</v>
      </c>
      <c r="AG232" s="5" t="s">
        <v>307</v>
      </c>
      <c r="AH232" s="5" t="s">
        <v>1270</v>
      </c>
      <c r="AI232" s="5"/>
    </row>
    <row r="233" spans="1:35" ht="68.25" customHeight="1">
      <c r="A233" s="5">
        <v>231</v>
      </c>
      <c r="B233" s="5" t="s">
        <v>297</v>
      </c>
      <c r="C233" s="5" t="s">
        <v>953</v>
      </c>
      <c r="D233" s="5" t="s">
        <v>299</v>
      </c>
      <c r="E233" s="5">
        <v>26</v>
      </c>
      <c r="F233" s="5" t="s">
        <v>300</v>
      </c>
      <c r="G233" s="5" t="s">
        <v>307</v>
      </c>
      <c r="H233" s="5" t="s">
        <v>304</v>
      </c>
      <c r="I233" s="5" t="s">
        <v>304</v>
      </c>
      <c r="J233" s="5" t="s">
        <v>304</v>
      </c>
      <c r="K233" s="5" t="s">
        <v>304</v>
      </c>
      <c r="L233" s="5" t="s">
        <v>1271</v>
      </c>
      <c r="M233" s="5" t="s">
        <v>306</v>
      </c>
      <c r="N233" s="5" t="s">
        <v>304</v>
      </c>
      <c r="O233" s="5" t="s">
        <v>307</v>
      </c>
      <c r="P233" s="5" t="s">
        <v>304</v>
      </c>
      <c r="Q233" s="5" t="s">
        <v>307</v>
      </c>
      <c r="R233" s="5" t="s">
        <v>304</v>
      </c>
      <c r="S233" s="5" t="s">
        <v>301</v>
      </c>
      <c r="T233" s="5" t="s">
        <v>1272</v>
      </c>
      <c r="U233" s="5" t="s">
        <v>1273</v>
      </c>
      <c r="V233" s="5" t="s">
        <v>304</v>
      </c>
      <c r="W233" s="5" t="s">
        <v>304</v>
      </c>
      <c r="X233" s="5" t="s">
        <v>301</v>
      </c>
      <c r="Y233" s="5" t="s">
        <v>304</v>
      </c>
      <c r="Z233" s="5" t="s">
        <v>304</v>
      </c>
      <c r="AA233" s="5" t="s">
        <v>304</v>
      </c>
      <c r="AB233" s="5" t="s">
        <v>1274</v>
      </c>
      <c r="AC233" s="5" t="s">
        <v>327</v>
      </c>
      <c r="AD233" s="5" t="s">
        <v>301</v>
      </c>
      <c r="AE233" s="5" t="s">
        <v>1275</v>
      </c>
      <c r="AF233" s="5" t="s">
        <v>1276</v>
      </c>
      <c r="AG233" s="5" t="s">
        <v>307</v>
      </c>
      <c r="AH233" s="5" t="s">
        <v>1277</v>
      </c>
      <c r="AI233" s="5"/>
    </row>
    <row r="234" spans="1:35" ht="27.75" customHeight="1">
      <c r="A234" s="5">
        <v>232</v>
      </c>
      <c r="B234" s="5" t="s">
        <v>297</v>
      </c>
      <c r="C234" s="5" t="s">
        <v>1204</v>
      </c>
      <c r="D234" s="5" t="s">
        <v>299</v>
      </c>
      <c r="E234" s="5">
        <v>35</v>
      </c>
      <c r="F234" s="5" t="s">
        <v>300</v>
      </c>
      <c r="G234" s="5" t="s">
        <v>307</v>
      </c>
      <c r="H234" s="5" t="s">
        <v>304</v>
      </c>
      <c r="I234" s="5" t="s">
        <v>304</v>
      </c>
      <c r="J234" s="5" t="s">
        <v>304</v>
      </c>
      <c r="K234" s="5" t="s">
        <v>301</v>
      </c>
      <c r="L234" s="5" t="s">
        <v>1278</v>
      </c>
      <c r="M234" s="5" t="s">
        <v>843</v>
      </c>
      <c r="N234" s="5" t="s">
        <v>304</v>
      </c>
      <c r="O234" s="5" t="s">
        <v>307</v>
      </c>
      <c r="P234" s="5" t="s">
        <v>304</v>
      </c>
      <c r="Q234" s="5" t="s">
        <v>301</v>
      </c>
      <c r="R234" s="5" t="s">
        <v>304</v>
      </c>
      <c r="S234" s="5" t="s">
        <v>307</v>
      </c>
      <c r="T234" s="5" t="s">
        <v>1279</v>
      </c>
      <c r="U234" s="5" t="s">
        <v>304</v>
      </c>
      <c r="V234" s="5" t="s">
        <v>304</v>
      </c>
      <c r="W234" s="5" t="s">
        <v>304</v>
      </c>
      <c r="X234" s="5" t="s">
        <v>304</v>
      </c>
      <c r="Y234" s="5" t="s">
        <v>304</v>
      </c>
      <c r="Z234" s="5" t="s">
        <v>304</v>
      </c>
      <c r="AA234" s="5" t="s">
        <v>304</v>
      </c>
      <c r="AB234" s="5" t="s">
        <v>1280</v>
      </c>
      <c r="AC234" s="5" t="s">
        <v>371</v>
      </c>
      <c r="AD234" s="5" t="s">
        <v>301</v>
      </c>
      <c r="AE234" s="5" t="s">
        <v>307</v>
      </c>
      <c r="AF234" s="5" t="s">
        <v>304</v>
      </c>
      <c r="AG234" s="5" t="s">
        <v>304</v>
      </c>
      <c r="AH234" s="5" t="s">
        <v>304</v>
      </c>
      <c r="AI234" s="5" t="s">
        <v>1281</v>
      </c>
    </row>
    <row r="235" spans="1:35" ht="68.25" customHeight="1">
      <c r="A235" s="5">
        <v>233</v>
      </c>
      <c r="B235" s="5" t="s">
        <v>297</v>
      </c>
      <c r="C235" s="5" t="s">
        <v>953</v>
      </c>
      <c r="D235" s="5" t="s">
        <v>299</v>
      </c>
      <c r="E235" s="5">
        <v>33</v>
      </c>
      <c r="F235" s="5" t="s">
        <v>300</v>
      </c>
      <c r="G235" s="5" t="s">
        <v>307</v>
      </c>
      <c r="H235" s="5" t="s">
        <v>304</v>
      </c>
      <c r="I235" s="5" t="s">
        <v>304</v>
      </c>
      <c r="J235" s="5" t="s">
        <v>304</v>
      </c>
      <c r="K235" s="5" t="s">
        <v>301</v>
      </c>
      <c r="L235" s="5" t="s">
        <v>1282</v>
      </c>
      <c r="M235" s="5" t="s">
        <v>843</v>
      </c>
      <c r="N235" s="5" t="s">
        <v>304</v>
      </c>
      <c r="O235" s="5" t="s">
        <v>307</v>
      </c>
      <c r="P235" s="5" t="s">
        <v>304</v>
      </c>
      <c r="Q235" s="5" t="s">
        <v>301</v>
      </c>
      <c r="R235" s="5" t="s">
        <v>304</v>
      </c>
      <c r="S235" s="5" t="s">
        <v>307</v>
      </c>
      <c r="T235" s="5" t="s">
        <v>304</v>
      </c>
      <c r="U235" s="5" t="s">
        <v>304</v>
      </c>
      <c r="V235" s="5" t="s">
        <v>304</v>
      </c>
      <c r="W235" s="5" t="s">
        <v>304</v>
      </c>
      <c r="X235" s="5" t="s">
        <v>304</v>
      </c>
      <c r="Y235" s="5" t="s">
        <v>304</v>
      </c>
      <c r="Z235" s="5" t="s">
        <v>304</v>
      </c>
      <c r="AA235" s="5" t="s">
        <v>304</v>
      </c>
      <c r="AB235" s="5" t="s">
        <v>1283</v>
      </c>
      <c r="AC235" s="5" t="s">
        <v>317</v>
      </c>
      <c r="AD235" s="5" t="s">
        <v>301</v>
      </c>
      <c r="AE235" s="5" t="s">
        <v>307</v>
      </c>
      <c r="AF235" s="5" t="s">
        <v>304</v>
      </c>
      <c r="AG235" s="5" t="s">
        <v>304</v>
      </c>
      <c r="AH235" s="5" t="s">
        <v>304</v>
      </c>
      <c r="AI235" s="5"/>
    </row>
    <row r="236" spans="1:35" ht="27.75" customHeight="1">
      <c r="A236" s="5">
        <v>234</v>
      </c>
      <c r="B236" s="5" t="s">
        <v>297</v>
      </c>
      <c r="C236" s="5" t="s">
        <v>953</v>
      </c>
      <c r="D236" s="5" t="s">
        <v>299</v>
      </c>
      <c r="E236" s="5">
        <v>28</v>
      </c>
      <c r="F236" s="5" t="s">
        <v>300</v>
      </c>
      <c r="G236" s="5" t="s">
        <v>307</v>
      </c>
      <c r="H236" s="5" t="s">
        <v>304</v>
      </c>
      <c r="I236" s="5" t="s">
        <v>304</v>
      </c>
      <c r="J236" s="5" t="s">
        <v>304</v>
      </c>
      <c r="K236" s="5" t="s">
        <v>301</v>
      </c>
      <c r="L236" s="5" t="s">
        <v>304</v>
      </c>
      <c r="M236" s="5" t="s">
        <v>306</v>
      </c>
      <c r="N236" s="5" t="s">
        <v>304</v>
      </c>
      <c r="O236" s="5" t="s">
        <v>307</v>
      </c>
      <c r="P236" s="5" t="s">
        <v>304</v>
      </c>
      <c r="Q236" s="5" t="s">
        <v>301</v>
      </c>
      <c r="R236" s="5" t="s">
        <v>1284</v>
      </c>
      <c r="S236" s="5" t="s">
        <v>307</v>
      </c>
      <c r="T236" s="5" t="s">
        <v>304</v>
      </c>
      <c r="U236" s="5" t="s">
        <v>304</v>
      </c>
      <c r="V236" s="5" t="s">
        <v>304</v>
      </c>
      <c r="W236" s="5" t="s">
        <v>1285</v>
      </c>
      <c r="X236" s="5" t="s">
        <v>304</v>
      </c>
      <c r="Y236" s="5" t="s">
        <v>304</v>
      </c>
      <c r="Z236" s="5" t="s">
        <v>304</v>
      </c>
      <c r="AA236" s="5" t="s">
        <v>304</v>
      </c>
      <c r="AB236" s="6" t="s">
        <v>1286</v>
      </c>
      <c r="AC236" s="5" t="s">
        <v>304</v>
      </c>
      <c r="AD236" s="5" t="s">
        <v>301</v>
      </c>
      <c r="AE236" s="5" t="s">
        <v>307</v>
      </c>
      <c r="AF236" s="5" t="s">
        <v>304</v>
      </c>
      <c r="AG236" s="5" t="s">
        <v>304</v>
      </c>
      <c r="AH236" s="5" t="s">
        <v>304</v>
      </c>
      <c r="AI236" s="5"/>
    </row>
    <row r="237" spans="1:35" ht="81.75" customHeight="1">
      <c r="A237" s="5">
        <v>235</v>
      </c>
      <c r="B237" s="5" t="s">
        <v>297</v>
      </c>
      <c r="C237" s="5" t="s">
        <v>403</v>
      </c>
      <c r="D237" s="5" t="s">
        <v>299</v>
      </c>
      <c r="E237" s="5">
        <v>31</v>
      </c>
      <c r="F237" s="5" t="s">
        <v>300</v>
      </c>
      <c r="G237" s="5" t="s">
        <v>307</v>
      </c>
      <c r="H237" s="5" t="s">
        <v>304</v>
      </c>
      <c r="I237" s="5" t="s">
        <v>304</v>
      </c>
      <c r="J237" s="5" t="s">
        <v>304</v>
      </c>
      <c r="K237" s="5" t="s">
        <v>301</v>
      </c>
      <c r="L237" s="5" t="s">
        <v>1287</v>
      </c>
      <c r="M237" s="5" t="s">
        <v>306</v>
      </c>
      <c r="N237" s="5" t="s">
        <v>304</v>
      </c>
      <c r="O237" s="5" t="s">
        <v>307</v>
      </c>
      <c r="P237" s="5" t="s">
        <v>304</v>
      </c>
      <c r="Q237" s="5" t="s">
        <v>301</v>
      </c>
      <c r="R237" s="5" t="s">
        <v>1288</v>
      </c>
      <c r="S237" s="5" t="s">
        <v>307</v>
      </c>
      <c r="T237" s="5" t="s">
        <v>304</v>
      </c>
      <c r="U237" s="5" t="s">
        <v>304</v>
      </c>
      <c r="V237" s="5" t="s">
        <v>304</v>
      </c>
      <c r="W237" s="5" t="s">
        <v>304</v>
      </c>
      <c r="X237" s="5" t="s">
        <v>304</v>
      </c>
      <c r="Y237" s="5" t="s">
        <v>304</v>
      </c>
      <c r="Z237" s="5" t="s">
        <v>304</v>
      </c>
      <c r="AA237" s="5" t="s">
        <v>304</v>
      </c>
      <c r="AB237" s="5" t="s">
        <v>1224</v>
      </c>
      <c r="AC237" s="5" t="s">
        <v>307</v>
      </c>
      <c r="AD237" s="5" t="s">
        <v>301</v>
      </c>
      <c r="AE237" s="5" t="s">
        <v>307</v>
      </c>
      <c r="AF237" s="5" t="s">
        <v>304</v>
      </c>
      <c r="AG237" s="5" t="s">
        <v>304</v>
      </c>
      <c r="AH237" s="5" t="s">
        <v>304</v>
      </c>
      <c r="AI237" s="5" t="s">
        <v>1289</v>
      </c>
    </row>
    <row r="238" spans="1:35" ht="27.75" customHeight="1">
      <c r="A238" s="5">
        <v>236</v>
      </c>
      <c r="B238" s="5" t="s">
        <v>297</v>
      </c>
      <c r="C238" s="5" t="s">
        <v>953</v>
      </c>
      <c r="D238" s="5" t="s">
        <v>299</v>
      </c>
      <c r="E238" s="5">
        <v>24</v>
      </c>
      <c r="F238" s="5" t="s">
        <v>300</v>
      </c>
      <c r="G238" s="5" t="s">
        <v>307</v>
      </c>
      <c r="H238" s="5" t="s">
        <v>304</v>
      </c>
      <c r="I238" s="5" t="s">
        <v>304</v>
      </c>
      <c r="J238" s="5" t="s">
        <v>304</v>
      </c>
      <c r="K238" s="5" t="s">
        <v>301</v>
      </c>
      <c r="L238" s="5" t="s">
        <v>304</v>
      </c>
      <c r="M238" s="5" t="s">
        <v>306</v>
      </c>
      <c r="N238" s="5" t="s">
        <v>304</v>
      </c>
      <c r="O238" s="5" t="s">
        <v>301</v>
      </c>
      <c r="P238" s="5" t="s">
        <v>304</v>
      </c>
      <c r="Q238" s="5" t="s">
        <v>301</v>
      </c>
      <c r="R238" s="5" t="s">
        <v>304</v>
      </c>
      <c r="S238" s="5" t="s">
        <v>307</v>
      </c>
      <c r="T238" s="5" t="s">
        <v>304</v>
      </c>
      <c r="U238" s="5" t="s">
        <v>304</v>
      </c>
      <c r="V238" s="5" t="s">
        <v>304</v>
      </c>
      <c r="W238" s="5" t="s">
        <v>304</v>
      </c>
      <c r="X238" s="5" t="s">
        <v>304</v>
      </c>
      <c r="Y238" s="5" t="s">
        <v>304</v>
      </c>
      <c r="Z238" s="5" t="s">
        <v>304</v>
      </c>
      <c r="AA238" s="5" t="s">
        <v>304</v>
      </c>
      <c r="AB238" s="5" t="s">
        <v>1290</v>
      </c>
      <c r="AC238" s="5" t="s">
        <v>307</v>
      </c>
      <c r="AD238" s="5" t="s">
        <v>301</v>
      </c>
      <c r="AE238" s="5" t="s">
        <v>307</v>
      </c>
      <c r="AF238" s="5" t="s">
        <v>304</v>
      </c>
      <c r="AG238" s="5" t="s">
        <v>304</v>
      </c>
      <c r="AH238" s="5" t="s">
        <v>304</v>
      </c>
      <c r="AI238" s="5" t="s">
        <v>1291</v>
      </c>
    </row>
    <row r="239" spans="1:35" ht="54.75" customHeight="1">
      <c r="A239" s="5">
        <v>237</v>
      </c>
      <c r="B239" s="5" t="s">
        <v>297</v>
      </c>
      <c r="C239" s="5" t="s">
        <v>342</v>
      </c>
      <c r="D239" s="5" t="s">
        <v>299</v>
      </c>
      <c r="E239" s="5">
        <v>22</v>
      </c>
      <c r="F239" s="5" t="s">
        <v>300</v>
      </c>
      <c r="G239" s="5" t="s">
        <v>307</v>
      </c>
      <c r="H239" s="5" t="s">
        <v>960</v>
      </c>
      <c r="I239" s="5" t="s">
        <v>304</v>
      </c>
      <c r="J239" s="5" t="s">
        <v>304</v>
      </c>
      <c r="K239" s="5" t="s">
        <v>301</v>
      </c>
      <c r="L239" s="5" t="s">
        <v>304</v>
      </c>
      <c r="M239" s="5" t="s">
        <v>306</v>
      </c>
      <c r="N239" s="5" t="s">
        <v>304</v>
      </c>
      <c r="O239" s="5" t="s">
        <v>301</v>
      </c>
      <c r="P239" s="5" t="s">
        <v>304</v>
      </c>
      <c r="Q239" s="5" t="s">
        <v>307</v>
      </c>
      <c r="R239" s="5" t="s">
        <v>304</v>
      </c>
      <c r="S239" s="5" t="s">
        <v>301</v>
      </c>
      <c r="T239" s="5" t="s">
        <v>1292</v>
      </c>
      <c r="U239" s="5" t="s">
        <v>304</v>
      </c>
      <c r="V239" s="5" t="s">
        <v>304</v>
      </c>
      <c r="W239" s="5" t="s">
        <v>304</v>
      </c>
      <c r="X239" s="5" t="s">
        <v>304</v>
      </c>
      <c r="Y239" s="5" t="s">
        <v>304</v>
      </c>
      <c r="Z239" s="5" t="s">
        <v>304</v>
      </c>
      <c r="AA239" s="5" t="s">
        <v>304</v>
      </c>
      <c r="AB239" s="5" t="s">
        <v>1293</v>
      </c>
      <c r="AC239" s="5" t="s">
        <v>327</v>
      </c>
      <c r="AD239" s="5" t="s">
        <v>301</v>
      </c>
      <c r="AE239" s="5" t="s">
        <v>307</v>
      </c>
      <c r="AF239" s="5" t="s">
        <v>304</v>
      </c>
      <c r="AG239" s="5" t="s">
        <v>304</v>
      </c>
      <c r="AH239" s="5" t="s">
        <v>304</v>
      </c>
      <c r="AI239" s="5"/>
    </row>
    <row r="240" spans="1:35" ht="27.75" customHeight="1">
      <c r="A240" s="5">
        <v>238</v>
      </c>
      <c r="B240" s="5" t="s">
        <v>297</v>
      </c>
      <c r="C240" s="5" t="s">
        <v>1180</v>
      </c>
      <c r="D240" s="5" t="s">
        <v>299</v>
      </c>
      <c r="E240" s="5">
        <v>64</v>
      </c>
      <c r="F240" s="5" t="s">
        <v>300</v>
      </c>
      <c r="G240" s="5" t="s">
        <v>301</v>
      </c>
      <c r="H240" s="5" t="s">
        <v>1294</v>
      </c>
      <c r="I240" s="5" t="s">
        <v>323</v>
      </c>
      <c r="J240" s="5" t="s">
        <v>1295</v>
      </c>
      <c r="K240" s="5" t="s">
        <v>301</v>
      </c>
      <c r="L240" s="5" t="s">
        <v>304</v>
      </c>
      <c r="M240" s="5" t="s">
        <v>313</v>
      </c>
      <c r="N240" s="5" t="s">
        <v>304</v>
      </c>
      <c r="O240" s="5" t="s">
        <v>307</v>
      </c>
      <c r="P240" s="5" t="s">
        <v>304</v>
      </c>
      <c r="Q240" s="5" t="s">
        <v>301</v>
      </c>
      <c r="R240" s="5" t="s">
        <v>304</v>
      </c>
      <c r="S240" s="5" t="s">
        <v>301</v>
      </c>
      <c r="T240" s="5" t="s">
        <v>1296</v>
      </c>
      <c r="U240" s="5" t="s">
        <v>1297</v>
      </c>
      <c r="V240" s="5" t="s">
        <v>1298</v>
      </c>
      <c r="W240" s="5" t="s">
        <v>304</v>
      </c>
      <c r="X240" s="5" t="s">
        <v>831</v>
      </c>
      <c r="Y240" s="5" t="s">
        <v>304</v>
      </c>
      <c r="Z240" s="5" t="s">
        <v>304</v>
      </c>
      <c r="AA240" s="5" t="s">
        <v>304</v>
      </c>
      <c r="AB240" s="5" t="s">
        <v>1299</v>
      </c>
      <c r="AC240" s="5" t="s">
        <v>520</v>
      </c>
      <c r="AD240" s="5" t="s">
        <v>301</v>
      </c>
      <c r="AE240" s="5" t="s">
        <v>1300</v>
      </c>
      <c r="AF240" s="5" t="s">
        <v>301</v>
      </c>
      <c r="AG240" s="5" t="s">
        <v>307</v>
      </c>
      <c r="AH240" s="5" t="s">
        <v>1301</v>
      </c>
      <c r="AI240" s="5" t="s">
        <v>818</v>
      </c>
    </row>
    <row r="241" spans="1:35" ht="54.75" customHeight="1">
      <c r="A241" s="5">
        <v>239</v>
      </c>
      <c r="B241" s="5" t="s">
        <v>297</v>
      </c>
      <c r="C241" s="5" t="s">
        <v>1180</v>
      </c>
      <c r="D241" s="5" t="s">
        <v>299</v>
      </c>
      <c r="E241" s="5">
        <v>45</v>
      </c>
      <c r="F241" s="5" t="s">
        <v>300</v>
      </c>
      <c r="G241" s="5" t="s">
        <v>301</v>
      </c>
      <c r="H241" s="5" t="s">
        <v>1302</v>
      </c>
      <c r="I241" s="5" t="s">
        <v>1303</v>
      </c>
      <c r="J241" s="5" t="s">
        <v>1304</v>
      </c>
      <c r="K241" s="5" t="s">
        <v>301</v>
      </c>
      <c r="L241" s="5" t="s">
        <v>304</v>
      </c>
      <c r="M241" s="5" t="s">
        <v>306</v>
      </c>
      <c r="N241" s="5" t="s">
        <v>304</v>
      </c>
      <c r="O241" s="5" t="s">
        <v>307</v>
      </c>
      <c r="P241" s="5" t="s">
        <v>304</v>
      </c>
      <c r="Q241" s="5" t="s">
        <v>301</v>
      </c>
      <c r="R241" s="5" t="s">
        <v>304</v>
      </c>
      <c r="S241" s="5" t="s">
        <v>301</v>
      </c>
      <c r="T241" s="5" t="s">
        <v>1305</v>
      </c>
      <c r="U241" s="5" t="s">
        <v>1306</v>
      </c>
      <c r="V241" s="5" t="s">
        <v>1307</v>
      </c>
      <c r="W241" s="5" t="s">
        <v>304</v>
      </c>
      <c r="X241" s="5" t="s">
        <v>307</v>
      </c>
      <c r="Y241" s="5" t="s">
        <v>304</v>
      </c>
      <c r="Z241" s="5" t="s">
        <v>304</v>
      </c>
      <c r="AA241" s="5" t="s">
        <v>304</v>
      </c>
      <c r="AB241" s="5" t="s">
        <v>1308</v>
      </c>
      <c r="AC241" s="5" t="s">
        <v>317</v>
      </c>
      <c r="AD241" s="5" t="s">
        <v>301</v>
      </c>
      <c r="AE241" s="5">
        <v>7</v>
      </c>
      <c r="AF241" s="5" t="s">
        <v>301</v>
      </c>
      <c r="AG241" s="5" t="s">
        <v>1309</v>
      </c>
      <c r="AH241" s="5" t="s">
        <v>1310</v>
      </c>
      <c r="AI241" s="5"/>
    </row>
    <row r="242" spans="1:35" ht="68.25" customHeight="1">
      <c r="A242" s="5">
        <v>240</v>
      </c>
      <c r="B242" s="5" t="s">
        <v>297</v>
      </c>
      <c r="C242" s="5" t="s">
        <v>1180</v>
      </c>
      <c r="D242" s="5" t="s">
        <v>299</v>
      </c>
      <c r="E242" s="5">
        <v>26</v>
      </c>
      <c r="F242" s="5" t="s">
        <v>300</v>
      </c>
      <c r="G242" s="5" t="s">
        <v>301</v>
      </c>
      <c r="H242" s="5" t="s">
        <v>1311</v>
      </c>
      <c r="I242" s="5" t="s">
        <v>1312</v>
      </c>
      <c r="J242" s="5" t="s">
        <v>951</v>
      </c>
      <c r="K242" s="5" t="s">
        <v>301</v>
      </c>
      <c r="L242" s="5" t="s">
        <v>304</v>
      </c>
      <c r="M242" s="5" t="s">
        <v>306</v>
      </c>
      <c r="N242" s="5" t="s">
        <v>304</v>
      </c>
      <c r="O242" s="5" t="s">
        <v>301</v>
      </c>
      <c r="P242" s="5" t="s">
        <v>304</v>
      </c>
      <c r="Q242" s="5" t="s">
        <v>301</v>
      </c>
      <c r="R242" s="5" t="s">
        <v>304</v>
      </c>
      <c r="S242" s="5" t="s">
        <v>301</v>
      </c>
      <c r="T242" s="5" t="s">
        <v>1313</v>
      </c>
      <c r="U242" s="5" t="s">
        <v>1314</v>
      </c>
      <c r="V242" s="5" t="s">
        <v>1315</v>
      </c>
      <c r="W242" s="5" t="s">
        <v>304</v>
      </c>
      <c r="X242" s="5" t="s">
        <v>304</v>
      </c>
      <c r="Y242" s="5" t="s">
        <v>304</v>
      </c>
      <c r="Z242" s="5" t="s">
        <v>304</v>
      </c>
      <c r="AA242" s="5" t="s">
        <v>304</v>
      </c>
      <c r="AB242" s="5" t="s">
        <v>1316</v>
      </c>
      <c r="AC242" s="5" t="s">
        <v>371</v>
      </c>
      <c r="AD242" s="5" t="s">
        <v>301</v>
      </c>
      <c r="AE242" s="5" t="s">
        <v>350</v>
      </c>
      <c r="AF242" s="5" t="s">
        <v>301</v>
      </c>
      <c r="AG242" s="5" t="s">
        <v>307</v>
      </c>
      <c r="AH242" s="5" t="s">
        <v>1317</v>
      </c>
      <c r="AI242" s="5"/>
    </row>
    <row r="243" spans="1:35" ht="41.25" customHeight="1">
      <c r="A243" s="5">
        <v>241</v>
      </c>
      <c r="B243" s="5" t="s">
        <v>297</v>
      </c>
      <c r="C243" s="5" t="s">
        <v>953</v>
      </c>
      <c r="D243" s="5" t="s">
        <v>299</v>
      </c>
      <c r="E243" s="5">
        <v>37</v>
      </c>
      <c r="F243" s="5" t="s">
        <v>300</v>
      </c>
      <c r="G243" s="5" t="s">
        <v>301</v>
      </c>
      <c r="H243" s="5" t="s">
        <v>1318</v>
      </c>
      <c r="I243" s="5" t="s">
        <v>1312</v>
      </c>
      <c r="J243" s="5" t="s">
        <v>303</v>
      </c>
      <c r="K243" s="5" t="s">
        <v>301</v>
      </c>
      <c r="L243" s="5" t="s">
        <v>304</v>
      </c>
      <c r="M243" s="5" t="s">
        <v>313</v>
      </c>
      <c r="N243" s="5" t="s">
        <v>304</v>
      </c>
      <c r="O243" s="5" t="s">
        <v>307</v>
      </c>
      <c r="P243" s="5" t="s">
        <v>304</v>
      </c>
      <c r="Q243" s="5" t="s">
        <v>301</v>
      </c>
      <c r="R243" s="5" t="s">
        <v>304</v>
      </c>
      <c r="S243" s="5" t="s">
        <v>301</v>
      </c>
      <c r="T243" s="5" t="s">
        <v>1319</v>
      </c>
      <c r="U243" s="5" t="s">
        <v>1320</v>
      </c>
      <c r="V243" s="5" t="s">
        <v>1321</v>
      </c>
      <c r="W243" s="5" t="s">
        <v>304</v>
      </c>
      <c r="X243" s="5" t="s">
        <v>301</v>
      </c>
      <c r="Y243" s="5" t="s">
        <v>304</v>
      </c>
      <c r="Z243" s="5" t="s">
        <v>304</v>
      </c>
      <c r="AA243" s="5" t="s">
        <v>304</v>
      </c>
      <c r="AB243" s="5" t="s">
        <v>1322</v>
      </c>
      <c r="AC243" s="5" t="s">
        <v>317</v>
      </c>
      <c r="AD243" s="5" t="s">
        <v>301</v>
      </c>
      <c r="AE243" s="5" t="s">
        <v>357</v>
      </c>
      <c r="AF243" s="5" t="s">
        <v>301</v>
      </c>
      <c r="AG243" s="5" t="s">
        <v>1323</v>
      </c>
      <c r="AH243" s="5" t="s">
        <v>1324</v>
      </c>
      <c r="AI243" s="5"/>
    </row>
    <row r="244" spans="1:35" ht="81.75" customHeight="1">
      <c r="A244" s="5">
        <v>242</v>
      </c>
      <c r="B244" s="5" t="s">
        <v>297</v>
      </c>
      <c r="C244" s="5" t="s">
        <v>953</v>
      </c>
      <c r="D244" s="5" t="s">
        <v>299</v>
      </c>
      <c r="E244" s="5">
        <v>62</v>
      </c>
      <c r="F244" s="5" t="s">
        <v>300</v>
      </c>
      <c r="G244" s="5" t="s">
        <v>301</v>
      </c>
      <c r="H244" s="5" t="s">
        <v>1325</v>
      </c>
      <c r="I244" s="5" t="s">
        <v>1326</v>
      </c>
      <c r="J244" s="5" t="s">
        <v>1327</v>
      </c>
      <c r="K244" s="5" t="s">
        <v>307</v>
      </c>
      <c r="L244" s="5" t="s">
        <v>304</v>
      </c>
      <c r="M244" s="5" t="s">
        <v>306</v>
      </c>
      <c r="N244" s="5" t="s">
        <v>304</v>
      </c>
      <c r="O244" s="5" t="s">
        <v>307</v>
      </c>
      <c r="P244" s="5" t="s">
        <v>304</v>
      </c>
      <c r="Q244" s="5" t="s">
        <v>301</v>
      </c>
      <c r="R244" s="5" t="s">
        <v>304</v>
      </c>
      <c r="S244" s="5" t="s">
        <v>301</v>
      </c>
      <c r="T244" s="5" t="s">
        <v>1328</v>
      </c>
      <c r="U244" s="5" t="s">
        <v>1329</v>
      </c>
      <c r="V244" s="5" t="s">
        <v>1330</v>
      </c>
      <c r="W244" s="5" t="s">
        <v>304</v>
      </c>
      <c r="X244" s="5" t="s">
        <v>301</v>
      </c>
      <c r="Y244" s="5" t="s">
        <v>304</v>
      </c>
      <c r="Z244" s="5" t="s">
        <v>304</v>
      </c>
      <c r="AA244" s="5" t="s">
        <v>304</v>
      </c>
      <c r="AB244" s="5" t="s">
        <v>1331</v>
      </c>
      <c r="AC244" s="5" t="s">
        <v>819</v>
      </c>
      <c r="AD244" s="5" t="s">
        <v>301</v>
      </c>
      <c r="AE244" s="5" t="s">
        <v>806</v>
      </c>
      <c r="AF244" s="5" t="s">
        <v>301</v>
      </c>
      <c r="AG244" s="5" t="s">
        <v>307</v>
      </c>
      <c r="AH244" s="5" t="s">
        <v>1332</v>
      </c>
      <c r="AI244" s="5"/>
    </row>
    <row r="245" spans="1:35" ht="41.25" customHeight="1">
      <c r="A245" s="5">
        <v>243</v>
      </c>
      <c r="B245" s="5" t="s">
        <v>297</v>
      </c>
      <c r="C245" s="5" t="s">
        <v>932</v>
      </c>
      <c r="D245" s="5" t="s">
        <v>337</v>
      </c>
      <c r="E245" s="5">
        <v>45</v>
      </c>
      <c r="F245" s="5" t="s">
        <v>300</v>
      </c>
      <c r="G245" s="5" t="s">
        <v>301</v>
      </c>
      <c r="H245" s="5" t="s">
        <v>310</v>
      </c>
      <c r="I245" s="5" t="s">
        <v>323</v>
      </c>
      <c r="J245" s="5" t="s">
        <v>304</v>
      </c>
      <c r="K245" s="5" t="s">
        <v>301</v>
      </c>
      <c r="L245" s="5" t="s">
        <v>304</v>
      </c>
      <c r="M245" s="5" t="s">
        <v>306</v>
      </c>
      <c r="N245" s="5" t="s">
        <v>304</v>
      </c>
      <c r="O245" s="5" t="s">
        <v>307</v>
      </c>
      <c r="P245" s="5" t="s">
        <v>304</v>
      </c>
      <c r="Q245" s="5" t="s">
        <v>301</v>
      </c>
      <c r="R245" s="5" t="s">
        <v>304</v>
      </c>
      <c r="S245" s="5" t="s">
        <v>301</v>
      </c>
      <c r="T245" s="5" t="s">
        <v>1333</v>
      </c>
      <c r="U245" s="5" t="s">
        <v>1334</v>
      </c>
      <c r="V245" s="5" t="s">
        <v>304</v>
      </c>
      <c r="W245" s="5" t="s">
        <v>304</v>
      </c>
      <c r="X245" s="5" t="s">
        <v>304</v>
      </c>
      <c r="Y245" s="5" t="s">
        <v>304</v>
      </c>
      <c r="Z245" s="5" t="s">
        <v>304</v>
      </c>
      <c r="AA245" s="5" t="s">
        <v>304</v>
      </c>
      <c r="AB245" s="5" t="s">
        <v>1335</v>
      </c>
      <c r="AC245" s="5" t="s">
        <v>317</v>
      </c>
      <c r="AD245" s="5" t="s">
        <v>301</v>
      </c>
      <c r="AE245" s="5" t="s">
        <v>304</v>
      </c>
      <c r="AF245" s="5" t="s">
        <v>301</v>
      </c>
      <c r="AG245" s="5" t="s">
        <v>307</v>
      </c>
      <c r="AH245" s="5" t="s">
        <v>1336</v>
      </c>
      <c r="AI245" s="5"/>
    </row>
    <row r="246" spans="1:35" ht="68.25" customHeight="1">
      <c r="A246" s="5">
        <v>244</v>
      </c>
      <c r="B246" s="5" t="s">
        <v>297</v>
      </c>
      <c r="C246" s="5" t="s">
        <v>994</v>
      </c>
      <c r="D246" s="5" t="s">
        <v>995</v>
      </c>
      <c r="E246" s="5">
        <v>55</v>
      </c>
      <c r="F246" s="5" t="s">
        <v>300</v>
      </c>
      <c r="G246" s="5" t="s">
        <v>301</v>
      </c>
      <c r="H246" s="5" t="s">
        <v>1337</v>
      </c>
      <c r="I246" s="5" t="s">
        <v>1338</v>
      </c>
      <c r="J246" s="5" t="s">
        <v>1339</v>
      </c>
      <c r="K246" s="5" t="s">
        <v>307</v>
      </c>
      <c r="L246" s="5" t="s">
        <v>304</v>
      </c>
      <c r="M246" s="5" t="s">
        <v>313</v>
      </c>
      <c r="N246" s="5" t="s">
        <v>304</v>
      </c>
      <c r="O246" s="5" t="s">
        <v>301</v>
      </c>
      <c r="P246" s="5" t="s">
        <v>304</v>
      </c>
      <c r="Q246" s="5" t="s">
        <v>304</v>
      </c>
      <c r="R246" s="5" t="s">
        <v>304</v>
      </c>
      <c r="S246" s="5" t="s">
        <v>301</v>
      </c>
      <c r="T246" s="5" t="s">
        <v>1340</v>
      </c>
      <c r="U246" s="5" t="s">
        <v>1341</v>
      </c>
      <c r="V246" s="5" t="s">
        <v>1342</v>
      </c>
      <c r="W246" s="5" t="s">
        <v>304</v>
      </c>
      <c r="X246" s="5" t="s">
        <v>301</v>
      </c>
      <c r="Y246" s="5" t="s">
        <v>304</v>
      </c>
      <c r="Z246" s="5" t="s">
        <v>304</v>
      </c>
      <c r="AA246" s="5" t="s">
        <v>304</v>
      </c>
      <c r="AB246" s="5" t="s">
        <v>1343</v>
      </c>
      <c r="AC246" s="5" t="s">
        <v>819</v>
      </c>
      <c r="AD246" s="5" t="s">
        <v>301</v>
      </c>
      <c r="AE246" s="5">
        <v>6</v>
      </c>
      <c r="AF246" s="5" t="s">
        <v>301</v>
      </c>
      <c r="AG246" s="5" t="s">
        <v>307</v>
      </c>
      <c r="AH246" s="5" t="s">
        <v>1344</v>
      </c>
      <c r="AI246" s="5"/>
    </row>
    <row r="247" spans="1:35" ht="122.25" customHeight="1">
      <c r="A247" s="5">
        <v>245</v>
      </c>
      <c r="B247" s="5" t="s">
        <v>297</v>
      </c>
      <c r="C247" s="5" t="s">
        <v>994</v>
      </c>
      <c r="D247" s="5" t="s">
        <v>995</v>
      </c>
      <c r="E247" s="5">
        <v>42</v>
      </c>
      <c r="F247" s="5" t="s">
        <v>300</v>
      </c>
      <c r="G247" s="5" t="s">
        <v>301</v>
      </c>
      <c r="H247" s="5" t="s">
        <v>1345</v>
      </c>
      <c r="I247" s="5" t="s">
        <v>310</v>
      </c>
      <c r="J247" s="5" t="s">
        <v>303</v>
      </c>
      <c r="K247" s="5" t="s">
        <v>301</v>
      </c>
      <c r="L247" s="5" t="s">
        <v>304</v>
      </c>
      <c r="M247" s="5" t="s">
        <v>306</v>
      </c>
      <c r="N247" s="5" t="s">
        <v>304</v>
      </c>
      <c r="O247" s="5" t="s">
        <v>301</v>
      </c>
      <c r="P247" s="5" t="s">
        <v>304</v>
      </c>
      <c r="Q247" s="5" t="s">
        <v>301</v>
      </c>
      <c r="R247" s="5" t="s">
        <v>304</v>
      </c>
      <c r="S247" s="5" t="s">
        <v>301</v>
      </c>
      <c r="T247" s="5" t="s">
        <v>1346</v>
      </c>
      <c r="U247" s="5" t="s">
        <v>1315</v>
      </c>
      <c r="V247" s="5" t="s">
        <v>304</v>
      </c>
      <c r="W247" s="5" t="s">
        <v>304</v>
      </c>
      <c r="X247" s="5" t="s">
        <v>307</v>
      </c>
      <c r="Y247" s="5" t="s">
        <v>304</v>
      </c>
      <c r="Z247" s="5" t="s">
        <v>304</v>
      </c>
      <c r="AA247" s="5" t="s">
        <v>304</v>
      </c>
      <c r="AB247" s="5" t="s">
        <v>304</v>
      </c>
      <c r="AC247" s="5" t="s">
        <v>317</v>
      </c>
      <c r="AD247" s="5" t="s">
        <v>301</v>
      </c>
      <c r="AE247" s="5">
        <v>3</v>
      </c>
      <c r="AF247" s="5" t="s">
        <v>301</v>
      </c>
      <c r="AG247" s="5" t="s">
        <v>307</v>
      </c>
      <c r="AH247" s="5" t="s">
        <v>1347</v>
      </c>
      <c r="AI247" s="5" t="s">
        <v>1348</v>
      </c>
    </row>
    <row r="248" spans="1:35" ht="54.75" customHeight="1">
      <c r="A248" s="5">
        <v>246</v>
      </c>
      <c r="B248" s="5" t="s">
        <v>297</v>
      </c>
      <c r="C248" s="5" t="s">
        <v>1349</v>
      </c>
      <c r="D248" s="5" t="s">
        <v>488</v>
      </c>
      <c r="E248" s="5">
        <v>26</v>
      </c>
      <c r="F248" s="5" t="s">
        <v>300</v>
      </c>
      <c r="G248" s="5" t="s">
        <v>301</v>
      </c>
      <c r="H248" s="5" t="s">
        <v>951</v>
      </c>
      <c r="I248" s="5" t="s">
        <v>303</v>
      </c>
      <c r="J248" s="5" t="s">
        <v>1350</v>
      </c>
      <c r="K248" s="5" t="s">
        <v>301</v>
      </c>
      <c r="L248" s="5" t="s">
        <v>304</v>
      </c>
      <c r="M248" s="5" t="s">
        <v>306</v>
      </c>
      <c r="N248" s="5" t="s">
        <v>304</v>
      </c>
      <c r="O248" s="5" t="s">
        <v>383</v>
      </c>
      <c r="P248" s="5" t="s">
        <v>304</v>
      </c>
      <c r="Q248" s="5" t="s">
        <v>301</v>
      </c>
      <c r="R248" s="5" t="s">
        <v>304</v>
      </c>
      <c r="S248" s="5" t="s">
        <v>301</v>
      </c>
      <c r="T248" s="5" t="s">
        <v>1351</v>
      </c>
      <c r="U248" s="5" t="s">
        <v>1352</v>
      </c>
      <c r="V248" s="5" t="s">
        <v>1353</v>
      </c>
      <c r="W248" s="5" t="s">
        <v>304</v>
      </c>
      <c r="X248" s="5" t="s">
        <v>301</v>
      </c>
      <c r="Y248" s="5" t="s">
        <v>304</v>
      </c>
      <c r="Z248" s="5" t="s">
        <v>304</v>
      </c>
      <c r="AA248" s="5" t="s">
        <v>304</v>
      </c>
      <c r="AB248" s="5" t="s">
        <v>1354</v>
      </c>
      <c r="AC248" s="5" t="s">
        <v>317</v>
      </c>
      <c r="AD248" s="5" t="s">
        <v>301</v>
      </c>
      <c r="AE248" s="5">
        <v>2</v>
      </c>
      <c r="AF248" s="5" t="s">
        <v>301</v>
      </c>
      <c r="AG248" s="5" t="s">
        <v>307</v>
      </c>
      <c r="AH248" s="5" t="s">
        <v>1355</v>
      </c>
      <c r="AI248" s="5"/>
    </row>
    <row r="249" spans="1:35" ht="41.25" customHeight="1">
      <c r="A249" s="5">
        <v>247</v>
      </c>
      <c r="B249" s="5" t="s">
        <v>297</v>
      </c>
      <c r="C249" s="5" t="s">
        <v>729</v>
      </c>
      <c r="D249" s="5" t="s">
        <v>337</v>
      </c>
      <c r="E249" s="5">
        <v>32</v>
      </c>
      <c r="F249" s="5" t="s">
        <v>300</v>
      </c>
      <c r="G249" s="5" t="s">
        <v>301</v>
      </c>
      <c r="H249" s="5" t="s">
        <v>303</v>
      </c>
      <c r="I249" s="5" t="s">
        <v>1356</v>
      </c>
      <c r="J249" s="5" t="s">
        <v>310</v>
      </c>
      <c r="K249" s="5" t="s">
        <v>301</v>
      </c>
      <c r="L249" s="5" t="s">
        <v>304</v>
      </c>
      <c r="M249" s="5" t="s">
        <v>313</v>
      </c>
      <c r="N249" s="5" t="s">
        <v>304</v>
      </c>
      <c r="O249" s="5" t="s">
        <v>301</v>
      </c>
      <c r="P249" s="5" t="s">
        <v>304</v>
      </c>
      <c r="Q249" s="5" t="s">
        <v>304</v>
      </c>
      <c r="R249" s="5" t="s">
        <v>304</v>
      </c>
      <c r="S249" s="5" t="s">
        <v>301</v>
      </c>
      <c r="T249" s="5" t="s">
        <v>1357</v>
      </c>
      <c r="U249" s="5" t="s">
        <v>1358</v>
      </c>
      <c r="V249" s="5" t="s">
        <v>1359</v>
      </c>
      <c r="W249" s="5" t="s">
        <v>304</v>
      </c>
      <c r="X249" s="5" t="s">
        <v>301</v>
      </c>
      <c r="Y249" s="5" t="s">
        <v>304</v>
      </c>
      <c r="Z249" s="5" t="s">
        <v>304</v>
      </c>
      <c r="AA249" s="5" t="s">
        <v>304</v>
      </c>
      <c r="AB249" s="5" t="s">
        <v>1360</v>
      </c>
      <c r="AC249" s="5" t="s">
        <v>317</v>
      </c>
      <c r="AD249" s="5" t="s">
        <v>301</v>
      </c>
      <c r="AE249" s="5">
        <v>2</v>
      </c>
      <c r="AF249" s="5" t="s">
        <v>301</v>
      </c>
      <c r="AG249" s="5" t="s">
        <v>307</v>
      </c>
      <c r="AH249" s="5" t="s">
        <v>1361</v>
      </c>
      <c r="AI249" s="5"/>
    </row>
    <row r="250" spans="1:35" ht="41.25" customHeight="1">
      <c r="A250" s="5">
        <v>248</v>
      </c>
      <c r="B250" s="5" t="s">
        <v>297</v>
      </c>
      <c r="C250" s="5" t="s">
        <v>1362</v>
      </c>
      <c r="D250" s="5" t="s">
        <v>337</v>
      </c>
      <c r="E250" s="5">
        <v>22</v>
      </c>
      <c r="F250" s="5" t="s">
        <v>300</v>
      </c>
      <c r="G250" s="5" t="s">
        <v>301</v>
      </c>
      <c r="H250" s="5" t="s">
        <v>303</v>
      </c>
      <c r="I250" s="5" t="s">
        <v>1363</v>
      </c>
      <c r="J250" s="5" t="s">
        <v>1364</v>
      </c>
      <c r="K250" s="5" t="s">
        <v>301</v>
      </c>
      <c r="L250" s="5" t="s">
        <v>304</v>
      </c>
      <c r="M250" s="5" t="s">
        <v>313</v>
      </c>
      <c r="N250" s="5" t="s">
        <v>304</v>
      </c>
      <c r="O250" s="5" t="s">
        <v>307</v>
      </c>
      <c r="P250" s="5" t="s">
        <v>304</v>
      </c>
      <c r="Q250" s="5" t="s">
        <v>301</v>
      </c>
      <c r="R250" s="5" t="s">
        <v>304</v>
      </c>
      <c r="S250" s="5" t="s">
        <v>301</v>
      </c>
      <c r="T250" s="5" t="s">
        <v>1340</v>
      </c>
      <c r="U250" s="5" t="s">
        <v>1365</v>
      </c>
      <c r="V250" s="5" t="s">
        <v>1366</v>
      </c>
      <c r="W250" s="5" t="s">
        <v>304</v>
      </c>
      <c r="X250" s="5" t="s">
        <v>301</v>
      </c>
      <c r="Y250" s="5" t="s">
        <v>304</v>
      </c>
      <c r="Z250" s="5" t="s">
        <v>304</v>
      </c>
      <c r="AA250" s="5" t="s">
        <v>304</v>
      </c>
      <c r="AB250" s="5" t="s">
        <v>1367</v>
      </c>
      <c r="AC250" s="5" t="s">
        <v>317</v>
      </c>
      <c r="AD250" s="5" t="s">
        <v>301</v>
      </c>
      <c r="AE250" s="5">
        <v>9</v>
      </c>
      <c r="AF250" s="5" t="s">
        <v>301</v>
      </c>
      <c r="AG250" s="5" t="s">
        <v>307</v>
      </c>
      <c r="AH250" s="5" t="s">
        <v>1368</v>
      </c>
      <c r="AI250" s="5"/>
    </row>
    <row r="251" spans="1:35" ht="108.75" customHeight="1">
      <c r="A251" s="5">
        <v>249</v>
      </c>
      <c r="B251" s="5" t="s">
        <v>297</v>
      </c>
      <c r="C251" s="5" t="s">
        <v>1369</v>
      </c>
      <c r="D251" s="5" t="s">
        <v>337</v>
      </c>
      <c r="E251" s="5">
        <v>60</v>
      </c>
      <c r="F251" s="5" t="s">
        <v>300</v>
      </c>
      <c r="G251" s="5" t="s">
        <v>301</v>
      </c>
      <c r="H251" s="5" t="s">
        <v>1370</v>
      </c>
      <c r="I251" s="5" t="s">
        <v>1371</v>
      </c>
      <c r="J251" s="5" t="s">
        <v>1372</v>
      </c>
      <c r="K251" s="5" t="s">
        <v>301</v>
      </c>
      <c r="L251" s="5" t="s">
        <v>304</v>
      </c>
      <c r="M251" s="5" t="s">
        <v>306</v>
      </c>
      <c r="N251" s="5" t="s">
        <v>304</v>
      </c>
      <c r="O251" s="5" t="s">
        <v>307</v>
      </c>
      <c r="P251" s="5" t="s">
        <v>304</v>
      </c>
      <c r="Q251" s="5" t="s">
        <v>301</v>
      </c>
      <c r="R251" s="5" t="s">
        <v>304</v>
      </c>
      <c r="S251" s="5" t="s">
        <v>301</v>
      </c>
      <c r="T251" s="5" t="s">
        <v>1373</v>
      </c>
      <c r="U251" s="5" t="s">
        <v>1374</v>
      </c>
      <c r="V251" s="5" t="s">
        <v>1375</v>
      </c>
      <c r="W251" s="5" t="s">
        <v>304</v>
      </c>
      <c r="X251" s="5" t="s">
        <v>301</v>
      </c>
      <c r="Y251" s="5" t="s">
        <v>304</v>
      </c>
      <c r="Z251" s="5" t="s">
        <v>304</v>
      </c>
      <c r="AA251" s="5" t="s">
        <v>304</v>
      </c>
      <c r="AB251" s="5" t="s">
        <v>1376</v>
      </c>
      <c r="AC251" s="5" t="s">
        <v>317</v>
      </c>
      <c r="AD251" s="5" t="s">
        <v>301</v>
      </c>
      <c r="AE251" s="5">
        <v>3</v>
      </c>
      <c r="AF251" s="5" t="s">
        <v>301</v>
      </c>
      <c r="AG251" s="5" t="s">
        <v>307</v>
      </c>
      <c r="AH251" s="5" t="s">
        <v>1377</v>
      </c>
      <c r="AI251" s="5" t="s">
        <v>1378</v>
      </c>
    </row>
    <row r="252" spans="1:35" ht="54.75" customHeight="1">
      <c r="A252" s="5">
        <v>250</v>
      </c>
      <c r="B252" s="5" t="s">
        <v>297</v>
      </c>
      <c r="C252" s="5" t="s">
        <v>1379</v>
      </c>
      <c r="D252" s="5" t="s">
        <v>299</v>
      </c>
      <c r="E252" s="5">
        <v>32</v>
      </c>
      <c r="F252" s="5" t="s">
        <v>300</v>
      </c>
      <c r="G252" s="5" t="s">
        <v>301</v>
      </c>
      <c r="H252" s="5" t="s">
        <v>1380</v>
      </c>
      <c r="I252" s="5" t="s">
        <v>1381</v>
      </c>
      <c r="J252" s="5" t="s">
        <v>1382</v>
      </c>
      <c r="K252" s="5" t="s">
        <v>301</v>
      </c>
      <c r="L252" s="5" t="s">
        <v>304</v>
      </c>
      <c r="M252" s="5" t="s">
        <v>313</v>
      </c>
      <c r="N252" s="5" t="s">
        <v>304</v>
      </c>
      <c r="O252" s="5" t="s">
        <v>307</v>
      </c>
      <c r="P252" s="5" t="s">
        <v>304</v>
      </c>
      <c r="Q252" s="5" t="s">
        <v>307</v>
      </c>
      <c r="R252" s="5" t="s">
        <v>1383</v>
      </c>
      <c r="S252" s="5" t="s">
        <v>307</v>
      </c>
      <c r="T252" s="5" t="s">
        <v>304</v>
      </c>
      <c r="U252" s="5" t="s">
        <v>304</v>
      </c>
      <c r="V252" s="5" t="s">
        <v>304</v>
      </c>
      <c r="W252" s="5" t="s">
        <v>304</v>
      </c>
      <c r="X252" s="5" t="s">
        <v>301</v>
      </c>
      <c r="Y252" s="5" t="s">
        <v>304</v>
      </c>
      <c r="Z252" s="5" t="s">
        <v>304</v>
      </c>
      <c r="AA252" s="5" t="s">
        <v>304</v>
      </c>
      <c r="AB252" s="5" t="s">
        <v>1384</v>
      </c>
      <c r="AC252" s="5" t="s">
        <v>520</v>
      </c>
      <c r="AD252" s="5" t="s">
        <v>301</v>
      </c>
      <c r="AE252" s="5" t="s">
        <v>357</v>
      </c>
      <c r="AF252" s="5" t="s">
        <v>301</v>
      </c>
      <c r="AG252" s="5" t="s">
        <v>307</v>
      </c>
      <c r="AH252" s="5" t="s">
        <v>1385</v>
      </c>
      <c r="AI252" s="5"/>
    </row>
    <row r="253" spans="1:35" ht="41.25" customHeight="1">
      <c r="A253" s="5">
        <v>251</v>
      </c>
      <c r="B253" s="5" t="s">
        <v>297</v>
      </c>
      <c r="C253" s="5" t="s">
        <v>1386</v>
      </c>
      <c r="D253" s="5" t="s">
        <v>337</v>
      </c>
      <c r="E253" s="5">
        <v>25</v>
      </c>
      <c r="F253" s="5" t="s">
        <v>300</v>
      </c>
      <c r="G253" s="5" t="s">
        <v>301</v>
      </c>
      <c r="H253" s="5" t="s">
        <v>310</v>
      </c>
      <c r="I253" s="5" t="s">
        <v>303</v>
      </c>
      <c r="J253" s="5" t="s">
        <v>323</v>
      </c>
      <c r="K253" s="5" t="s">
        <v>301</v>
      </c>
      <c r="L253" s="5" t="s">
        <v>304</v>
      </c>
      <c r="M253" s="5" t="s">
        <v>313</v>
      </c>
      <c r="N253" s="5" t="s">
        <v>304</v>
      </c>
      <c r="O253" s="5" t="s">
        <v>301</v>
      </c>
      <c r="P253" s="5" t="s">
        <v>304</v>
      </c>
      <c r="Q253" s="5" t="s">
        <v>304</v>
      </c>
      <c r="R253" s="5" t="s">
        <v>304</v>
      </c>
      <c r="S253" s="5" t="s">
        <v>307</v>
      </c>
      <c r="T253" s="5" t="s">
        <v>304</v>
      </c>
      <c r="U253" s="5" t="s">
        <v>304</v>
      </c>
      <c r="V253" s="5" t="s">
        <v>304</v>
      </c>
      <c r="W253" s="5" t="s">
        <v>304</v>
      </c>
      <c r="X253" s="5" t="s">
        <v>301</v>
      </c>
      <c r="Y253" s="5" t="s">
        <v>304</v>
      </c>
      <c r="Z253" s="5" t="s">
        <v>304</v>
      </c>
      <c r="AA253" s="5" t="s">
        <v>304</v>
      </c>
      <c r="AB253" s="5" t="s">
        <v>1387</v>
      </c>
      <c r="AC253" s="5" t="s">
        <v>371</v>
      </c>
      <c r="AD253" s="5" t="s">
        <v>301</v>
      </c>
      <c r="AE253" s="5" t="s">
        <v>806</v>
      </c>
      <c r="AF253" s="5" t="s">
        <v>301</v>
      </c>
      <c r="AG253" s="5" t="s">
        <v>307</v>
      </c>
      <c r="AH253" s="5" t="s">
        <v>1388</v>
      </c>
      <c r="AI253" s="5"/>
    </row>
    <row r="254" spans="1:35" ht="41.25" customHeight="1">
      <c r="A254" s="5">
        <v>252</v>
      </c>
      <c r="B254" s="5" t="s">
        <v>297</v>
      </c>
      <c r="C254" s="5" t="s">
        <v>1389</v>
      </c>
      <c r="D254" s="5" t="s">
        <v>488</v>
      </c>
      <c r="E254" s="5">
        <v>43</v>
      </c>
      <c r="F254" s="5" t="s">
        <v>300</v>
      </c>
      <c r="G254" s="5" t="s">
        <v>301</v>
      </c>
      <c r="H254" s="5" t="s">
        <v>1390</v>
      </c>
      <c r="I254" s="5" t="s">
        <v>1391</v>
      </c>
      <c r="J254" s="5" t="s">
        <v>304</v>
      </c>
      <c r="K254" s="5" t="s">
        <v>301</v>
      </c>
      <c r="L254" s="5" t="s">
        <v>304</v>
      </c>
      <c r="M254" s="5" t="s">
        <v>313</v>
      </c>
      <c r="N254" s="5" t="s">
        <v>304</v>
      </c>
      <c r="O254" s="5" t="s">
        <v>307</v>
      </c>
      <c r="P254" s="5" t="s">
        <v>304</v>
      </c>
      <c r="Q254" s="5" t="s">
        <v>301</v>
      </c>
      <c r="R254" s="5" t="s">
        <v>304</v>
      </c>
      <c r="S254" s="5" t="s">
        <v>301</v>
      </c>
      <c r="T254" s="5" t="s">
        <v>1392</v>
      </c>
      <c r="U254" s="5" t="s">
        <v>1393</v>
      </c>
      <c r="V254" s="5" t="s">
        <v>1394</v>
      </c>
      <c r="W254" s="5" t="s">
        <v>304</v>
      </c>
      <c r="X254" s="5" t="s">
        <v>304</v>
      </c>
      <c r="Y254" s="5" t="s">
        <v>304</v>
      </c>
      <c r="Z254" s="5" t="s">
        <v>304</v>
      </c>
      <c r="AA254" s="5" t="s">
        <v>304</v>
      </c>
      <c r="AB254" s="5" t="s">
        <v>1395</v>
      </c>
      <c r="AC254" s="5" t="s">
        <v>327</v>
      </c>
      <c r="AD254" s="5" t="s">
        <v>301</v>
      </c>
      <c r="AE254" s="5" t="s">
        <v>806</v>
      </c>
      <c r="AF254" s="5" t="s">
        <v>301</v>
      </c>
      <c r="AG254" s="5" t="s">
        <v>307</v>
      </c>
      <c r="AH254" s="5" t="s">
        <v>1396</v>
      </c>
      <c r="AI254" s="5"/>
    </row>
    <row r="255" spans="1:35" ht="41.25" customHeight="1">
      <c r="A255" s="5">
        <v>253</v>
      </c>
      <c r="B255" s="5" t="s">
        <v>297</v>
      </c>
      <c r="C255" s="5" t="s">
        <v>1397</v>
      </c>
      <c r="D255" s="5" t="s">
        <v>488</v>
      </c>
      <c r="E255" s="5">
        <v>30</v>
      </c>
      <c r="F255" s="5" t="s">
        <v>300</v>
      </c>
      <c r="G255" s="5" t="s">
        <v>301</v>
      </c>
      <c r="H255" s="5" t="s">
        <v>1381</v>
      </c>
      <c r="I255" s="5" t="s">
        <v>1398</v>
      </c>
      <c r="J255" s="5" t="s">
        <v>1302</v>
      </c>
      <c r="K255" s="5" t="s">
        <v>301</v>
      </c>
      <c r="L255" s="5" t="s">
        <v>304</v>
      </c>
      <c r="M255" s="5" t="s">
        <v>313</v>
      </c>
      <c r="N255" s="5" t="s">
        <v>304</v>
      </c>
      <c r="O255" s="5" t="s">
        <v>307</v>
      </c>
      <c r="P255" s="5" t="s">
        <v>304</v>
      </c>
      <c r="Q255" s="5" t="s">
        <v>301</v>
      </c>
      <c r="R255" s="5" t="s">
        <v>304</v>
      </c>
      <c r="S255" s="5" t="s">
        <v>307</v>
      </c>
      <c r="T255" s="5" t="s">
        <v>304</v>
      </c>
      <c r="U255" s="5" t="s">
        <v>304</v>
      </c>
      <c r="V255" s="5" t="s">
        <v>304</v>
      </c>
      <c r="W255" s="5" t="s">
        <v>304</v>
      </c>
      <c r="X255" s="5" t="s">
        <v>307</v>
      </c>
      <c r="Y255" s="5" t="s">
        <v>304</v>
      </c>
      <c r="Z255" s="5" t="s">
        <v>304</v>
      </c>
      <c r="AA255" s="5" t="s">
        <v>304</v>
      </c>
      <c r="AB255" s="5" t="s">
        <v>1399</v>
      </c>
      <c r="AC255" s="5" t="s">
        <v>327</v>
      </c>
      <c r="AD255" s="5" t="s">
        <v>301</v>
      </c>
      <c r="AE255" s="5">
        <v>2</v>
      </c>
      <c r="AF255" s="5" t="s">
        <v>301</v>
      </c>
      <c r="AG255" s="5" t="s">
        <v>307</v>
      </c>
      <c r="AH255" s="5" t="s">
        <v>1400</v>
      </c>
      <c r="AI255" s="5"/>
    </row>
    <row r="256" spans="1:35" ht="95.25" customHeight="1">
      <c r="A256" s="5">
        <v>254</v>
      </c>
      <c r="B256" s="5" t="s">
        <v>297</v>
      </c>
      <c r="C256" s="5" t="s">
        <v>1401</v>
      </c>
      <c r="D256" s="5" t="s">
        <v>337</v>
      </c>
      <c r="E256" s="5">
        <v>38</v>
      </c>
      <c r="F256" s="5" t="s">
        <v>300</v>
      </c>
      <c r="G256" s="5" t="s">
        <v>301</v>
      </c>
      <c r="H256" s="5" t="s">
        <v>1402</v>
      </c>
      <c r="I256" s="5" t="s">
        <v>1403</v>
      </c>
      <c r="J256" s="5" t="s">
        <v>1404</v>
      </c>
      <c r="K256" s="5" t="s">
        <v>301</v>
      </c>
      <c r="L256" s="5" t="s">
        <v>304</v>
      </c>
      <c r="M256" s="5" t="s">
        <v>306</v>
      </c>
      <c r="N256" s="5" t="s">
        <v>304</v>
      </c>
      <c r="O256" s="5" t="s">
        <v>307</v>
      </c>
      <c r="P256" s="5" t="s">
        <v>304</v>
      </c>
      <c r="Q256" s="5" t="s">
        <v>301</v>
      </c>
      <c r="R256" s="5" t="s">
        <v>304</v>
      </c>
      <c r="S256" s="5" t="s">
        <v>307</v>
      </c>
      <c r="T256" s="5" t="s">
        <v>304</v>
      </c>
      <c r="U256" s="5" t="s">
        <v>304</v>
      </c>
      <c r="V256" s="5" t="s">
        <v>304</v>
      </c>
      <c r="W256" s="5" t="s">
        <v>304</v>
      </c>
      <c r="X256" s="5" t="s">
        <v>307</v>
      </c>
      <c r="Y256" s="5" t="s">
        <v>304</v>
      </c>
      <c r="Z256" s="5" t="s">
        <v>304</v>
      </c>
      <c r="AA256" s="5" t="s">
        <v>304</v>
      </c>
      <c r="AB256" s="5" t="s">
        <v>1405</v>
      </c>
      <c r="AC256" s="5" t="s">
        <v>317</v>
      </c>
      <c r="AD256" s="5" t="s">
        <v>301</v>
      </c>
      <c r="AE256" s="5" t="s">
        <v>350</v>
      </c>
      <c r="AF256" s="5" t="s">
        <v>301</v>
      </c>
      <c r="AG256" s="5" t="s">
        <v>307</v>
      </c>
      <c r="AH256" s="5" t="s">
        <v>1406</v>
      </c>
      <c r="AI256" s="5"/>
    </row>
    <row r="257" spans="1:35" ht="81.75" customHeight="1">
      <c r="A257" s="5">
        <v>255</v>
      </c>
      <c r="B257" s="5" t="s">
        <v>297</v>
      </c>
      <c r="C257" s="5" t="s">
        <v>1407</v>
      </c>
      <c r="D257" s="5" t="s">
        <v>488</v>
      </c>
      <c r="E257" s="5">
        <v>42</v>
      </c>
      <c r="F257" s="5" t="s">
        <v>300</v>
      </c>
      <c r="G257" s="5" t="s">
        <v>301</v>
      </c>
      <c r="H257" s="5" t="s">
        <v>1408</v>
      </c>
      <c r="I257" s="5" t="s">
        <v>1409</v>
      </c>
      <c r="J257" s="5" t="s">
        <v>1410</v>
      </c>
      <c r="K257" s="5" t="s">
        <v>301</v>
      </c>
      <c r="L257" s="5" t="s">
        <v>304</v>
      </c>
      <c r="M257" s="5" t="s">
        <v>313</v>
      </c>
      <c r="N257" s="5" t="s">
        <v>304</v>
      </c>
      <c r="O257" s="5" t="s">
        <v>307</v>
      </c>
      <c r="P257" s="5" t="s">
        <v>304</v>
      </c>
      <c r="Q257" s="5" t="s">
        <v>301</v>
      </c>
      <c r="R257" s="5" t="s">
        <v>304</v>
      </c>
      <c r="S257" s="5" t="s">
        <v>301</v>
      </c>
      <c r="T257" s="5" t="s">
        <v>1411</v>
      </c>
      <c r="U257" s="5" t="s">
        <v>1412</v>
      </c>
      <c r="V257" s="5" t="s">
        <v>1413</v>
      </c>
      <c r="W257" s="5" t="s">
        <v>304</v>
      </c>
      <c r="X257" s="5" t="s">
        <v>307</v>
      </c>
      <c r="Y257" s="5" t="s">
        <v>304</v>
      </c>
      <c r="Z257" s="5" t="s">
        <v>304</v>
      </c>
      <c r="AA257" s="5" t="s">
        <v>304</v>
      </c>
      <c r="AB257" s="5" t="s">
        <v>304</v>
      </c>
      <c r="AC257" s="5" t="s">
        <v>371</v>
      </c>
      <c r="AD257" s="5" t="s">
        <v>301</v>
      </c>
      <c r="AE257" s="5" t="s">
        <v>806</v>
      </c>
      <c r="AF257" s="5" t="s">
        <v>301</v>
      </c>
      <c r="AG257" s="5" t="s">
        <v>307</v>
      </c>
      <c r="AH257" s="5" t="s">
        <v>1414</v>
      </c>
      <c r="AI257" s="5"/>
    </row>
    <row r="258" spans="1:35" ht="41.25" customHeight="1">
      <c r="A258" s="5">
        <v>256</v>
      </c>
      <c r="B258" s="5" t="s">
        <v>297</v>
      </c>
      <c r="C258" s="5" t="s">
        <v>1415</v>
      </c>
      <c r="D258" s="5" t="s">
        <v>488</v>
      </c>
      <c r="E258" s="5">
        <v>23</v>
      </c>
      <c r="F258" s="5" t="s">
        <v>300</v>
      </c>
      <c r="G258" s="5" t="s">
        <v>301</v>
      </c>
      <c r="H258" s="5" t="s">
        <v>1302</v>
      </c>
      <c r="I258" s="5" t="s">
        <v>1416</v>
      </c>
      <c r="J258" s="5" t="s">
        <v>1417</v>
      </c>
      <c r="K258" s="5" t="s">
        <v>307</v>
      </c>
      <c r="L258" s="5" t="s">
        <v>304</v>
      </c>
      <c r="M258" s="5" t="s">
        <v>313</v>
      </c>
      <c r="N258" s="5" t="s">
        <v>304</v>
      </c>
      <c r="O258" s="5" t="s">
        <v>307</v>
      </c>
      <c r="P258" s="5" t="s">
        <v>304</v>
      </c>
      <c r="Q258" s="5" t="s">
        <v>307</v>
      </c>
      <c r="R258" s="5" t="s">
        <v>304</v>
      </c>
      <c r="S258" s="5" t="s">
        <v>301</v>
      </c>
      <c r="T258" s="5" t="s">
        <v>1418</v>
      </c>
      <c r="U258" s="5" t="s">
        <v>1419</v>
      </c>
      <c r="V258" s="5" t="s">
        <v>1420</v>
      </c>
      <c r="W258" s="5" t="s">
        <v>304</v>
      </c>
      <c r="X258" s="5" t="s">
        <v>307</v>
      </c>
      <c r="Y258" s="5" t="s">
        <v>304</v>
      </c>
      <c r="Z258" s="5" t="s">
        <v>304</v>
      </c>
      <c r="AA258" s="5" t="s">
        <v>304</v>
      </c>
      <c r="AB258" s="5" t="s">
        <v>304</v>
      </c>
      <c r="AC258" s="5" t="s">
        <v>327</v>
      </c>
      <c r="AD258" s="5" t="s">
        <v>301</v>
      </c>
      <c r="AE258" s="5" t="s">
        <v>806</v>
      </c>
      <c r="AF258" s="5" t="s">
        <v>301</v>
      </c>
      <c r="AG258" s="5" t="s">
        <v>307</v>
      </c>
      <c r="AH258" s="5" t="s">
        <v>1421</v>
      </c>
      <c r="AI258" s="5"/>
    </row>
    <row r="259" spans="1:35" ht="27.75" customHeight="1">
      <c r="A259" s="5">
        <v>257</v>
      </c>
      <c r="B259" s="5" t="s">
        <v>297</v>
      </c>
      <c r="C259" s="5" t="s">
        <v>1422</v>
      </c>
      <c r="D259" s="5" t="s">
        <v>299</v>
      </c>
      <c r="E259" s="5">
        <v>36</v>
      </c>
      <c r="F259" s="5" t="s">
        <v>300</v>
      </c>
      <c r="G259" s="5" t="s">
        <v>301</v>
      </c>
      <c r="H259" s="5" t="s">
        <v>310</v>
      </c>
      <c r="I259" s="5" t="s">
        <v>303</v>
      </c>
      <c r="J259" s="5" t="s">
        <v>328</v>
      </c>
      <c r="K259" s="5" t="s">
        <v>301</v>
      </c>
      <c r="L259" s="5" t="s">
        <v>304</v>
      </c>
      <c r="M259" s="5" t="s">
        <v>313</v>
      </c>
      <c r="N259" s="5" t="s">
        <v>304</v>
      </c>
      <c r="O259" s="5" t="s">
        <v>307</v>
      </c>
      <c r="P259" s="5" t="s">
        <v>304</v>
      </c>
      <c r="Q259" s="5" t="s">
        <v>301</v>
      </c>
      <c r="R259" s="5" t="s">
        <v>304</v>
      </c>
      <c r="S259" s="5" t="s">
        <v>301</v>
      </c>
      <c r="T259" s="5" t="s">
        <v>1423</v>
      </c>
      <c r="U259" s="5" t="s">
        <v>1424</v>
      </c>
      <c r="V259" s="5" t="s">
        <v>1425</v>
      </c>
      <c r="W259" s="5" t="s">
        <v>304</v>
      </c>
      <c r="X259" s="5" t="s">
        <v>307</v>
      </c>
      <c r="Y259" s="5" t="s">
        <v>304</v>
      </c>
      <c r="Z259" s="5" t="s">
        <v>304</v>
      </c>
      <c r="AA259" s="5" t="s">
        <v>304</v>
      </c>
      <c r="AB259" s="5" t="s">
        <v>304</v>
      </c>
      <c r="AC259" s="5" t="s">
        <v>327</v>
      </c>
      <c r="AD259" s="5" t="s">
        <v>301</v>
      </c>
      <c r="AE259" s="5">
        <v>1</v>
      </c>
      <c r="AF259" s="5" t="s">
        <v>301</v>
      </c>
      <c r="AG259" s="5" t="s">
        <v>307</v>
      </c>
      <c r="AH259" s="5" t="s">
        <v>1426</v>
      </c>
      <c r="AI259" s="5"/>
    </row>
    <row r="260" spans="1:35" ht="54.75" customHeight="1">
      <c r="A260" s="5">
        <v>258</v>
      </c>
      <c r="B260" s="5" t="s">
        <v>297</v>
      </c>
      <c r="C260" s="5" t="s">
        <v>628</v>
      </c>
      <c r="D260" s="5" t="s">
        <v>337</v>
      </c>
      <c r="E260" s="5">
        <v>42</v>
      </c>
      <c r="F260" s="5" t="s">
        <v>300</v>
      </c>
      <c r="G260" s="5" t="s">
        <v>301</v>
      </c>
      <c r="H260" s="5" t="s">
        <v>1427</v>
      </c>
      <c r="I260" s="5" t="s">
        <v>303</v>
      </c>
      <c r="J260" s="5" t="s">
        <v>951</v>
      </c>
      <c r="K260" s="5" t="s">
        <v>301</v>
      </c>
      <c r="L260" s="5" t="s">
        <v>304</v>
      </c>
      <c r="M260" s="5" t="s">
        <v>313</v>
      </c>
      <c r="N260" s="5" t="s">
        <v>1428</v>
      </c>
      <c r="O260" s="5" t="s">
        <v>307</v>
      </c>
      <c r="P260" s="5" t="s">
        <v>304</v>
      </c>
      <c r="Q260" s="5" t="s">
        <v>301</v>
      </c>
      <c r="R260" s="5" t="s">
        <v>304</v>
      </c>
      <c r="S260" s="5" t="s">
        <v>301</v>
      </c>
      <c r="T260" s="5" t="s">
        <v>1429</v>
      </c>
      <c r="U260" s="5" t="s">
        <v>1430</v>
      </c>
      <c r="V260" s="5" t="s">
        <v>1431</v>
      </c>
      <c r="W260" s="5" t="s">
        <v>304</v>
      </c>
      <c r="X260" s="5" t="s">
        <v>307</v>
      </c>
      <c r="Y260" s="5" t="s">
        <v>304</v>
      </c>
      <c r="Z260" s="5" t="s">
        <v>304</v>
      </c>
      <c r="AA260" s="5" t="s">
        <v>304</v>
      </c>
      <c r="AB260" s="5" t="s">
        <v>1432</v>
      </c>
      <c r="AC260" s="5" t="s">
        <v>317</v>
      </c>
      <c r="AD260" s="5" t="s">
        <v>301</v>
      </c>
      <c r="AE260" s="5" t="s">
        <v>357</v>
      </c>
      <c r="AF260" s="5" t="s">
        <v>301</v>
      </c>
      <c r="AG260" s="5" t="s">
        <v>307</v>
      </c>
      <c r="AH260" s="5" t="s">
        <v>1433</v>
      </c>
      <c r="AI260" s="5"/>
    </row>
    <row r="261" spans="1:35" ht="41.25" customHeight="1">
      <c r="A261" s="5">
        <v>259</v>
      </c>
      <c r="B261" s="5" t="s">
        <v>297</v>
      </c>
      <c r="C261" s="5" t="s">
        <v>1422</v>
      </c>
      <c r="D261" s="5" t="s">
        <v>299</v>
      </c>
      <c r="E261" s="5">
        <v>36</v>
      </c>
      <c r="F261" s="5" t="s">
        <v>300</v>
      </c>
      <c r="G261" s="5" t="s">
        <v>301</v>
      </c>
      <c r="H261" s="5" t="s">
        <v>328</v>
      </c>
      <c r="I261" s="5" t="s">
        <v>1434</v>
      </c>
      <c r="J261" s="5" t="s">
        <v>304</v>
      </c>
      <c r="K261" s="5" t="s">
        <v>301</v>
      </c>
      <c r="L261" s="5" t="s">
        <v>304</v>
      </c>
      <c r="M261" s="5" t="s">
        <v>313</v>
      </c>
      <c r="N261" s="5" t="s">
        <v>304</v>
      </c>
      <c r="O261" s="5" t="s">
        <v>307</v>
      </c>
      <c r="P261" s="5" t="s">
        <v>304</v>
      </c>
      <c r="Q261" s="5" t="s">
        <v>307</v>
      </c>
      <c r="R261" s="5" t="s">
        <v>304</v>
      </c>
      <c r="S261" s="5" t="s">
        <v>301</v>
      </c>
      <c r="T261" s="5" t="s">
        <v>1435</v>
      </c>
      <c r="U261" s="5" t="s">
        <v>1436</v>
      </c>
      <c r="V261" s="5" t="s">
        <v>304</v>
      </c>
      <c r="W261" s="5" t="s">
        <v>304</v>
      </c>
      <c r="X261" s="5" t="s">
        <v>307</v>
      </c>
      <c r="Y261" s="5" t="s">
        <v>304</v>
      </c>
      <c r="Z261" s="5" t="s">
        <v>304</v>
      </c>
      <c r="AA261" s="5" t="s">
        <v>304</v>
      </c>
      <c r="AB261" s="5" t="s">
        <v>1437</v>
      </c>
      <c r="AC261" s="5" t="s">
        <v>327</v>
      </c>
      <c r="AD261" s="5" t="s">
        <v>301</v>
      </c>
      <c r="AE261" s="5">
        <v>2</v>
      </c>
      <c r="AF261" s="5" t="s">
        <v>301</v>
      </c>
      <c r="AG261" s="5" t="s">
        <v>307</v>
      </c>
      <c r="AH261" s="5" t="s">
        <v>1438</v>
      </c>
      <c r="AI261" s="5"/>
    </row>
    <row r="262" spans="1:35" ht="41.25" customHeight="1">
      <c r="A262" s="5">
        <v>260</v>
      </c>
      <c r="B262" s="5" t="s">
        <v>297</v>
      </c>
      <c r="C262" s="5" t="s">
        <v>729</v>
      </c>
      <c r="D262" s="5" t="s">
        <v>337</v>
      </c>
      <c r="E262" s="5">
        <v>41</v>
      </c>
      <c r="F262" s="5" t="s">
        <v>300</v>
      </c>
      <c r="G262" s="5" t="s">
        <v>301</v>
      </c>
      <c r="H262" s="5" t="s">
        <v>310</v>
      </c>
      <c r="I262" s="5" t="s">
        <v>303</v>
      </c>
      <c r="J262" s="5" t="s">
        <v>304</v>
      </c>
      <c r="K262" s="5" t="s">
        <v>301</v>
      </c>
      <c r="L262" s="5" t="s">
        <v>304</v>
      </c>
      <c r="M262" s="5" t="s">
        <v>313</v>
      </c>
      <c r="N262" s="5" t="s">
        <v>304</v>
      </c>
      <c r="O262" s="5" t="s">
        <v>307</v>
      </c>
      <c r="P262" s="5" t="s">
        <v>304</v>
      </c>
      <c r="Q262" s="5" t="s">
        <v>307</v>
      </c>
      <c r="R262" s="5" t="s">
        <v>304</v>
      </c>
      <c r="S262" s="5" t="s">
        <v>307</v>
      </c>
      <c r="T262" s="5" t="s">
        <v>304</v>
      </c>
      <c r="U262" s="5" t="s">
        <v>304</v>
      </c>
      <c r="V262" s="5" t="s">
        <v>304</v>
      </c>
      <c r="W262" s="5" t="s">
        <v>304</v>
      </c>
      <c r="X262" s="5" t="s">
        <v>304</v>
      </c>
      <c r="Y262" s="5" t="s">
        <v>304</v>
      </c>
      <c r="Z262" s="5" t="s">
        <v>304</v>
      </c>
      <c r="AA262" s="5" t="s">
        <v>304</v>
      </c>
      <c r="AB262" s="5" t="s">
        <v>1439</v>
      </c>
      <c r="AC262" s="5" t="s">
        <v>317</v>
      </c>
      <c r="AD262" s="5" t="s">
        <v>301</v>
      </c>
      <c r="AE262" s="5" t="s">
        <v>357</v>
      </c>
      <c r="AF262" s="5" t="s">
        <v>301</v>
      </c>
      <c r="AG262" s="5" t="s">
        <v>307</v>
      </c>
      <c r="AH262" s="5" t="s">
        <v>1440</v>
      </c>
      <c r="AI262" s="5"/>
    </row>
    <row r="263" spans="1:35" ht="41.25" customHeight="1">
      <c r="A263" s="5">
        <v>261</v>
      </c>
      <c r="B263" s="5" t="s">
        <v>297</v>
      </c>
      <c r="C263" s="5" t="s">
        <v>345</v>
      </c>
      <c r="D263" s="5" t="s">
        <v>299</v>
      </c>
      <c r="E263" s="5">
        <v>20</v>
      </c>
      <c r="F263" s="5" t="s">
        <v>300</v>
      </c>
      <c r="G263" s="5" t="s">
        <v>301</v>
      </c>
      <c r="H263" s="5" t="s">
        <v>310</v>
      </c>
      <c r="I263" s="5" t="s">
        <v>501</v>
      </c>
      <c r="J263" s="5" t="s">
        <v>304</v>
      </c>
      <c r="K263" s="5" t="s">
        <v>301</v>
      </c>
      <c r="L263" s="5" t="s">
        <v>304</v>
      </c>
      <c r="M263" s="5" t="s">
        <v>313</v>
      </c>
      <c r="N263" s="5" t="s">
        <v>304</v>
      </c>
      <c r="O263" s="5" t="s">
        <v>307</v>
      </c>
      <c r="P263" s="5" t="s">
        <v>304</v>
      </c>
      <c r="Q263" s="5" t="s">
        <v>301</v>
      </c>
      <c r="R263" s="5" t="s">
        <v>304</v>
      </c>
      <c r="S263" s="5" t="s">
        <v>301</v>
      </c>
      <c r="T263" s="5" t="s">
        <v>1423</v>
      </c>
      <c r="U263" s="5" t="s">
        <v>1441</v>
      </c>
      <c r="V263" s="5" t="s">
        <v>1442</v>
      </c>
      <c r="W263" s="5" t="s">
        <v>304</v>
      </c>
      <c r="X263" s="5" t="s">
        <v>304</v>
      </c>
      <c r="Y263" s="5" t="s">
        <v>304</v>
      </c>
      <c r="Z263" s="5" t="s">
        <v>304</v>
      </c>
      <c r="AA263" s="5" t="s">
        <v>304</v>
      </c>
      <c r="AB263" s="5" t="s">
        <v>1443</v>
      </c>
      <c r="AC263" s="5" t="s">
        <v>327</v>
      </c>
      <c r="AD263" s="5" t="s">
        <v>301</v>
      </c>
      <c r="AE263" s="5">
        <v>1</v>
      </c>
      <c r="AF263" s="5" t="s">
        <v>301</v>
      </c>
      <c r="AG263" s="5" t="s">
        <v>307</v>
      </c>
      <c r="AH263" s="5" t="s">
        <v>1444</v>
      </c>
      <c r="AI263" s="5"/>
    </row>
    <row r="264" spans="1:35" ht="27.75" customHeight="1">
      <c r="A264" s="5">
        <v>262</v>
      </c>
      <c r="B264" s="5" t="s">
        <v>297</v>
      </c>
      <c r="C264" s="5" t="s">
        <v>893</v>
      </c>
      <c r="D264" s="5" t="s">
        <v>488</v>
      </c>
      <c r="E264" s="5">
        <v>19</v>
      </c>
      <c r="F264" s="5" t="s">
        <v>300</v>
      </c>
      <c r="G264" s="5" t="s">
        <v>301</v>
      </c>
      <c r="H264" s="5" t="s">
        <v>310</v>
      </c>
      <c r="I264" s="5" t="s">
        <v>303</v>
      </c>
      <c r="J264" s="5" t="s">
        <v>328</v>
      </c>
      <c r="K264" s="5" t="s">
        <v>301</v>
      </c>
      <c r="L264" s="5" t="s">
        <v>304</v>
      </c>
      <c r="M264" s="5" t="s">
        <v>313</v>
      </c>
      <c r="N264" s="5" t="s">
        <v>304</v>
      </c>
      <c r="O264" s="5" t="s">
        <v>307</v>
      </c>
      <c r="P264" s="5" t="s">
        <v>304</v>
      </c>
      <c r="Q264" s="5" t="s">
        <v>301</v>
      </c>
      <c r="R264" s="5" t="s">
        <v>304</v>
      </c>
      <c r="S264" s="5" t="s">
        <v>301</v>
      </c>
      <c r="T264" s="5" t="s">
        <v>1445</v>
      </c>
      <c r="U264" s="5" t="s">
        <v>1441</v>
      </c>
      <c r="V264" s="5" t="s">
        <v>304</v>
      </c>
      <c r="W264" s="5" t="s">
        <v>304</v>
      </c>
      <c r="X264" s="5" t="s">
        <v>307</v>
      </c>
      <c r="Y264" s="5" t="s">
        <v>304</v>
      </c>
      <c r="Z264" s="5" t="s">
        <v>304</v>
      </c>
      <c r="AA264" s="5" t="s">
        <v>304</v>
      </c>
      <c r="AB264" s="5" t="s">
        <v>304</v>
      </c>
      <c r="AC264" s="5" t="s">
        <v>317</v>
      </c>
      <c r="AD264" s="5" t="s">
        <v>301</v>
      </c>
      <c r="AE264" s="5">
        <v>2</v>
      </c>
      <c r="AF264" s="5" t="s">
        <v>301</v>
      </c>
      <c r="AG264" s="5" t="s">
        <v>307</v>
      </c>
      <c r="AH264" s="5" t="s">
        <v>1446</v>
      </c>
      <c r="AI264" s="5"/>
    </row>
    <row r="265" spans="1:35" ht="27.75" customHeight="1">
      <c r="A265" s="5">
        <v>263</v>
      </c>
      <c r="B265" s="5" t="s">
        <v>297</v>
      </c>
      <c r="C265" s="5" t="s">
        <v>1447</v>
      </c>
      <c r="D265" s="5" t="s">
        <v>488</v>
      </c>
      <c r="E265" s="5">
        <v>35</v>
      </c>
      <c r="F265" s="5" t="s">
        <v>300</v>
      </c>
      <c r="G265" s="5" t="s">
        <v>301</v>
      </c>
      <c r="H265" s="5" t="s">
        <v>310</v>
      </c>
      <c r="I265" s="5" t="s">
        <v>303</v>
      </c>
      <c r="J265" s="5" t="s">
        <v>328</v>
      </c>
      <c r="K265" s="5" t="s">
        <v>301</v>
      </c>
      <c r="L265" s="5" t="s">
        <v>304</v>
      </c>
      <c r="M265" s="5" t="s">
        <v>313</v>
      </c>
      <c r="N265" s="5" t="s">
        <v>304</v>
      </c>
      <c r="O265" s="5" t="s">
        <v>307</v>
      </c>
      <c r="P265" s="5" t="s">
        <v>304</v>
      </c>
      <c r="Q265" s="5" t="s">
        <v>301</v>
      </c>
      <c r="R265" s="5" t="s">
        <v>304</v>
      </c>
      <c r="S265" s="5" t="s">
        <v>307</v>
      </c>
      <c r="T265" s="5" t="s">
        <v>304</v>
      </c>
      <c r="U265" s="5" t="s">
        <v>304</v>
      </c>
      <c r="V265" s="5" t="s">
        <v>304</v>
      </c>
      <c r="W265" s="5" t="s">
        <v>304</v>
      </c>
      <c r="X265" s="5" t="s">
        <v>307</v>
      </c>
      <c r="Y265" s="5" t="s">
        <v>304</v>
      </c>
      <c r="Z265" s="5" t="s">
        <v>304</v>
      </c>
      <c r="AA265" s="5" t="s">
        <v>304</v>
      </c>
      <c r="AB265" s="5" t="s">
        <v>1448</v>
      </c>
      <c r="AC265" s="5" t="s">
        <v>317</v>
      </c>
      <c r="AD265" s="5" t="s">
        <v>301</v>
      </c>
      <c r="AE265" s="5">
        <v>3</v>
      </c>
      <c r="AF265" s="5" t="s">
        <v>301</v>
      </c>
      <c r="AG265" s="5" t="s">
        <v>307</v>
      </c>
      <c r="AH265" s="5" t="s">
        <v>1449</v>
      </c>
      <c r="AI265" s="5"/>
    </row>
    <row r="266" spans="1:35" ht="27.75" customHeight="1">
      <c r="A266" s="5">
        <v>264</v>
      </c>
      <c r="B266" s="5" t="s">
        <v>297</v>
      </c>
      <c r="C266" s="5" t="s">
        <v>1349</v>
      </c>
      <c r="D266" s="5" t="s">
        <v>488</v>
      </c>
      <c r="E266" s="5">
        <v>28</v>
      </c>
      <c r="F266" s="5" t="s">
        <v>300</v>
      </c>
      <c r="G266" s="5" t="s">
        <v>301</v>
      </c>
      <c r="H266" s="5" t="s">
        <v>310</v>
      </c>
      <c r="I266" s="5" t="s">
        <v>1450</v>
      </c>
      <c r="J266" s="5" t="s">
        <v>304</v>
      </c>
      <c r="K266" s="5" t="s">
        <v>301</v>
      </c>
      <c r="L266" s="5" t="s">
        <v>304</v>
      </c>
      <c r="M266" s="5" t="s">
        <v>313</v>
      </c>
      <c r="N266" s="5" t="s">
        <v>304</v>
      </c>
      <c r="O266" s="5" t="s">
        <v>307</v>
      </c>
      <c r="P266" s="5" t="s">
        <v>304</v>
      </c>
      <c r="Q266" s="5" t="s">
        <v>301</v>
      </c>
      <c r="R266" s="5" t="s">
        <v>304</v>
      </c>
      <c r="S266" s="5" t="s">
        <v>307</v>
      </c>
      <c r="T266" s="5" t="s">
        <v>304</v>
      </c>
      <c r="U266" s="5" t="s">
        <v>304</v>
      </c>
      <c r="V266" s="5" t="s">
        <v>304</v>
      </c>
      <c r="W266" s="5" t="s">
        <v>304</v>
      </c>
      <c r="X266" s="5" t="s">
        <v>307</v>
      </c>
      <c r="Y266" s="5" t="s">
        <v>304</v>
      </c>
      <c r="Z266" s="5" t="s">
        <v>304</v>
      </c>
      <c r="AA266" s="5" t="s">
        <v>304</v>
      </c>
      <c r="AB266" s="5" t="s">
        <v>1451</v>
      </c>
      <c r="AC266" s="5" t="s">
        <v>327</v>
      </c>
      <c r="AD266" s="5" t="s">
        <v>301</v>
      </c>
      <c r="AE266" s="5">
        <v>1</v>
      </c>
      <c r="AF266" s="5" t="s">
        <v>301</v>
      </c>
      <c r="AG266" s="5" t="s">
        <v>307</v>
      </c>
      <c r="AH266" s="5" t="s">
        <v>1452</v>
      </c>
      <c r="AI266" s="5"/>
    </row>
    <row r="267" spans="1:35" ht="15" customHeight="1">
      <c r="A267" s="5">
        <v>265</v>
      </c>
      <c r="B267" s="5" t="s">
        <v>297</v>
      </c>
      <c r="C267" s="5" t="s">
        <v>893</v>
      </c>
      <c r="D267" s="5" t="s">
        <v>488</v>
      </c>
      <c r="E267" s="5">
        <v>40</v>
      </c>
      <c r="F267" s="5" t="s">
        <v>300</v>
      </c>
      <c r="G267" s="5" t="s">
        <v>301</v>
      </c>
      <c r="H267" s="5" t="s">
        <v>1381</v>
      </c>
      <c r="I267" s="5" t="s">
        <v>303</v>
      </c>
      <c r="J267" s="5" t="s">
        <v>304</v>
      </c>
      <c r="K267" s="5" t="s">
        <v>301</v>
      </c>
      <c r="L267" s="5" t="s">
        <v>304</v>
      </c>
      <c r="M267" s="5" t="s">
        <v>313</v>
      </c>
      <c r="N267" s="5" t="s">
        <v>304</v>
      </c>
      <c r="O267" s="5" t="s">
        <v>307</v>
      </c>
      <c r="P267" s="5" t="s">
        <v>304</v>
      </c>
      <c r="Q267" s="5" t="s">
        <v>301</v>
      </c>
      <c r="R267" s="5" t="s">
        <v>304</v>
      </c>
      <c r="S267" s="5" t="s">
        <v>307</v>
      </c>
      <c r="T267" s="5" t="s">
        <v>304</v>
      </c>
      <c r="U267" s="5" t="s">
        <v>304</v>
      </c>
      <c r="V267" s="5" t="s">
        <v>304</v>
      </c>
      <c r="W267" s="5" t="s">
        <v>304</v>
      </c>
      <c r="X267" s="5" t="s">
        <v>307</v>
      </c>
      <c r="Y267" s="5" t="s">
        <v>304</v>
      </c>
      <c r="Z267" s="5" t="s">
        <v>304</v>
      </c>
      <c r="AA267" s="5" t="s">
        <v>304</v>
      </c>
      <c r="AB267" s="5" t="s">
        <v>1453</v>
      </c>
      <c r="AC267" s="5" t="s">
        <v>327</v>
      </c>
      <c r="AD267" s="5" t="s">
        <v>301</v>
      </c>
      <c r="AE267" s="5" t="s">
        <v>304</v>
      </c>
      <c r="AF267" s="5" t="s">
        <v>301</v>
      </c>
      <c r="AG267" s="5" t="s">
        <v>307</v>
      </c>
      <c r="AH267" s="5" t="s">
        <v>1454</v>
      </c>
      <c r="AI267" s="5"/>
    </row>
    <row r="268" spans="1:35" ht="41.25" customHeight="1">
      <c r="A268" s="5">
        <v>266</v>
      </c>
      <c r="B268" s="5" t="s">
        <v>297</v>
      </c>
      <c r="C268" s="5" t="s">
        <v>1200</v>
      </c>
      <c r="D268" s="5" t="s">
        <v>488</v>
      </c>
      <c r="E268" s="5">
        <v>38</v>
      </c>
      <c r="F268" s="5" t="s">
        <v>300</v>
      </c>
      <c r="G268" s="5" t="s">
        <v>301</v>
      </c>
      <c r="H268" s="5" t="s">
        <v>303</v>
      </c>
      <c r="I268" s="5" t="s">
        <v>310</v>
      </c>
      <c r="J268" s="5" t="s">
        <v>304</v>
      </c>
      <c r="K268" s="5" t="s">
        <v>301</v>
      </c>
      <c r="L268" s="5" t="s">
        <v>304</v>
      </c>
      <c r="M268" s="5" t="s">
        <v>313</v>
      </c>
      <c r="N268" s="5" t="s">
        <v>304</v>
      </c>
      <c r="O268" s="5" t="s">
        <v>307</v>
      </c>
      <c r="P268" s="5" t="s">
        <v>304</v>
      </c>
      <c r="Q268" s="5" t="s">
        <v>301</v>
      </c>
      <c r="R268" s="5" t="s">
        <v>304</v>
      </c>
      <c r="S268" s="5" t="s">
        <v>307</v>
      </c>
      <c r="T268" s="5" t="s">
        <v>304</v>
      </c>
      <c r="U268" s="5" t="s">
        <v>304</v>
      </c>
      <c r="V268" s="5" t="s">
        <v>304</v>
      </c>
      <c r="W268" s="5" t="s">
        <v>304</v>
      </c>
      <c r="X268" s="5" t="s">
        <v>307</v>
      </c>
      <c r="Y268" s="5" t="s">
        <v>304</v>
      </c>
      <c r="Z268" s="5" t="s">
        <v>304</v>
      </c>
      <c r="AA268" s="5" t="s">
        <v>304</v>
      </c>
      <c r="AB268" s="5" t="s">
        <v>304</v>
      </c>
      <c r="AC268" s="5" t="s">
        <v>327</v>
      </c>
      <c r="AD268" s="5" t="s">
        <v>301</v>
      </c>
      <c r="AE268" s="5">
        <v>5</v>
      </c>
      <c r="AF268" s="5" t="s">
        <v>301</v>
      </c>
      <c r="AG268" s="5" t="s">
        <v>307</v>
      </c>
      <c r="AH268" s="5" t="s">
        <v>1455</v>
      </c>
      <c r="AI268" s="5" t="s">
        <v>1456</v>
      </c>
    </row>
    <row r="269" spans="1:35" ht="27.75" customHeight="1">
      <c r="A269" s="5">
        <v>267</v>
      </c>
      <c r="B269" s="5" t="s">
        <v>297</v>
      </c>
      <c r="C269" s="5" t="s">
        <v>893</v>
      </c>
      <c r="D269" s="5" t="s">
        <v>488</v>
      </c>
      <c r="E269" s="5">
        <v>36</v>
      </c>
      <c r="F269" s="5" t="s">
        <v>300</v>
      </c>
      <c r="G269" s="5" t="s">
        <v>301</v>
      </c>
      <c r="H269" s="5" t="s">
        <v>310</v>
      </c>
      <c r="I269" s="5" t="s">
        <v>304</v>
      </c>
      <c r="J269" s="5" t="s">
        <v>304</v>
      </c>
      <c r="K269" s="5" t="s">
        <v>301</v>
      </c>
      <c r="L269" s="5" t="s">
        <v>304</v>
      </c>
      <c r="M269" s="5" t="s">
        <v>313</v>
      </c>
      <c r="N269" s="5" t="s">
        <v>304</v>
      </c>
      <c r="O269" s="5" t="s">
        <v>307</v>
      </c>
      <c r="P269" s="5" t="s">
        <v>304</v>
      </c>
      <c r="Q269" s="5" t="s">
        <v>301</v>
      </c>
      <c r="R269" s="5" t="s">
        <v>304</v>
      </c>
      <c r="S269" s="5" t="s">
        <v>307</v>
      </c>
      <c r="T269" s="5" t="s">
        <v>304</v>
      </c>
      <c r="U269" s="5" t="s">
        <v>304</v>
      </c>
      <c r="V269" s="5" t="s">
        <v>304</v>
      </c>
      <c r="W269" s="5" t="s">
        <v>304</v>
      </c>
      <c r="X269" s="5" t="s">
        <v>307</v>
      </c>
      <c r="Y269" s="5" t="s">
        <v>304</v>
      </c>
      <c r="Z269" s="5" t="s">
        <v>304</v>
      </c>
      <c r="AA269" s="5" t="s">
        <v>304</v>
      </c>
      <c r="AB269" s="5" t="s">
        <v>304</v>
      </c>
      <c r="AC269" s="5" t="s">
        <v>327</v>
      </c>
      <c r="AD269" s="5" t="s">
        <v>301</v>
      </c>
      <c r="AE269" s="5">
        <v>2</v>
      </c>
      <c r="AF269" s="5" t="s">
        <v>301</v>
      </c>
      <c r="AG269" s="5" t="s">
        <v>307</v>
      </c>
      <c r="AH269" s="5" t="s">
        <v>1457</v>
      </c>
      <c r="AI269" s="5"/>
    </row>
    <row r="270" spans="1:35" ht="41.25" customHeight="1">
      <c r="A270" s="5">
        <v>268</v>
      </c>
      <c r="B270" s="5" t="s">
        <v>297</v>
      </c>
      <c r="C270" s="5" t="s">
        <v>1458</v>
      </c>
      <c r="D270" s="5" t="s">
        <v>299</v>
      </c>
      <c r="E270" s="5">
        <v>30</v>
      </c>
      <c r="F270" s="5" t="s">
        <v>300</v>
      </c>
      <c r="G270" s="5" t="s">
        <v>301</v>
      </c>
      <c r="H270" s="5" t="s">
        <v>310</v>
      </c>
      <c r="I270" s="5" t="s">
        <v>304</v>
      </c>
      <c r="J270" s="5" t="s">
        <v>304</v>
      </c>
      <c r="K270" s="5" t="s">
        <v>307</v>
      </c>
      <c r="L270" s="5" t="s">
        <v>304</v>
      </c>
      <c r="M270" s="5" t="s">
        <v>313</v>
      </c>
      <c r="N270" s="5" t="s">
        <v>304</v>
      </c>
      <c r="O270" s="5" t="s">
        <v>307</v>
      </c>
      <c r="P270" s="5" t="s">
        <v>304</v>
      </c>
      <c r="Q270" s="5" t="s">
        <v>301</v>
      </c>
      <c r="R270" s="5" t="s">
        <v>304</v>
      </c>
      <c r="S270" s="5" t="s">
        <v>301</v>
      </c>
      <c r="T270" s="5" t="s">
        <v>1459</v>
      </c>
      <c r="U270" s="5" t="s">
        <v>1297</v>
      </c>
      <c r="V270" s="5" t="s">
        <v>304</v>
      </c>
      <c r="W270" s="5" t="s">
        <v>304</v>
      </c>
      <c r="X270" s="5" t="s">
        <v>301</v>
      </c>
      <c r="Y270" s="5" t="s">
        <v>304</v>
      </c>
      <c r="Z270" s="5" t="s">
        <v>304</v>
      </c>
      <c r="AA270" s="5" t="s">
        <v>304</v>
      </c>
      <c r="AB270" s="5" t="s">
        <v>304</v>
      </c>
      <c r="AC270" s="5" t="s">
        <v>317</v>
      </c>
      <c r="AD270" s="5" t="s">
        <v>301</v>
      </c>
      <c r="AE270" s="5">
        <v>8</v>
      </c>
      <c r="AF270" s="5" t="s">
        <v>301</v>
      </c>
      <c r="AG270" s="5" t="s">
        <v>307</v>
      </c>
      <c r="AH270" s="5" t="s">
        <v>1460</v>
      </c>
      <c r="AI270" s="5"/>
    </row>
    <row r="271" spans="1:35" ht="41.25" customHeight="1">
      <c r="A271" s="5">
        <v>269</v>
      </c>
      <c r="B271" s="5" t="s">
        <v>297</v>
      </c>
      <c r="C271" s="5" t="s">
        <v>1461</v>
      </c>
      <c r="D271" s="5" t="s">
        <v>337</v>
      </c>
      <c r="E271" s="5">
        <v>45</v>
      </c>
      <c r="F271" s="5" t="s">
        <v>300</v>
      </c>
      <c r="G271" s="5" t="s">
        <v>301</v>
      </c>
      <c r="H271" s="5" t="s">
        <v>1462</v>
      </c>
      <c r="I271" s="5" t="s">
        <v>1463</v>
      </c>
      <c r="J271" s="5" t="s">
        <v>304</v>
      </c>
      <c r="K271" s="5" t="s">
        <v>301</v>
      </c>
      <c r="L271" s="5" t="s">
        <v>304</v>
      </c>
      <c r="M271" s="5" t="s">
        <v>313</v>
      </c>
      <c r="N271" s="5" t="s">
        <v>304</v>
      </c>
      <c r="O271" s="5" t="s">
        <v>307</v>
      </c>
      <c r="P271" s="5" t="s">
        <v>304</v>
      </c>
      <c r="Q271" s="5" t="s">
        <v>301</v>
      </c>
      <c r="R271" s="5" t="s">
        <v>304</v>
      </c>
      <c r="S271" s="5" t="s">
        <v>307</v>
      </c>
      <c r="T271" s="5" t="s">
        <v>304</v>
      </c>
      <c r="U271" s="5" t="s">
        <v>304</v>
      </c>
      <c r="V271" s="5" t="s">
        <v>304</v>
      </c>
      <c r="W271" s="5" t="s">
        <v>304</v>
      </c>
      <c r="X271" s="5" t="s">
        <v>301</v>
      </c>
      <c r="Y271" s="5" t="s">
        <v>304</v>
      </c>
      <c r="Z271" s="5" t="s">
        <v>304</v>
      </c>
      <c r="AA271" s="5" t="s">
        <v>304</v>
      </c>
      <c r="AB271" s="5" t="s">
        <v>1464</v>
      </c>
      <c r="AC271" s="5" t="s">
        <v>327</v>
      </c>
      <c r="AD271" s="5" t="s">
        <v>301</v>
      </c>
      <c r="AE271" s="5">
        <v>8</v>
      </c>
      <c r="AF271" s="5" t="s">
        <v>301</v>
      </c>
      <c r="AG271" s="5" t="s">
        <v>307</v>
      </c>
      <c r="AH271" s="5" t="s">
        <v>1465</v>
      </c>
      <c r="AI271" s="5"/>
    </row>
    <row r="272" spans="1:35" ht="135.75" customHeight="1">
      <c r="A272" s="5">
        <v>270</v>
      </c>
      <c r="B272" s="5" t="s">
        <v>297</v>
      </c>
      <c r="C272" s="5" t="s">
        <v>729</v>
      </c>
      <c r="D272" s="5" t="s">
        <v>337</v>
      </c>
      <c r="E272" s="5">
        <v>30</v>
      </c>
      <c r="F272" s="5" t="s">
        <v>300</v>
      </c>
      <c r="G272" s="5" t="s">
        <v>301</v>
      </c>
      <c r="H272" s="5" t="s">
        <v>310</v>
      </c>
      <c r="I272" s="5" t="s">
        <v>304</v>
      </c>
      <c r="J272" s="5" t="s">
        <v>304</v>
      </c>
      <c r="K272" s="5" t="s">
        <v>301</v>
      </c>
      <c r="L272" s="5" t="s">
        <v>304</v>
      </c>
      <c r="M272" s="5" t="s">
        <v>313</v>
      </c>
      <c r="N272" s="5" t="s">
        <v>304</v>
      </c>
      <c r="O272" s="5" t="s">
        <v>307</v>
      </c>
      <c r="P272" s="5" t="s">
        <v>304</v>
      </c>
      <c r="Q272" s="5" t="s">
        <v>301</v>
      </c>
      <c r="R272" s="5" t="s">
        <v>304</v>
      </c>
      <c r="S272" s="5" t="s">
        <v>301</v>
      </c>
      <c r="T272" s="5" t="s">
        <v>304</v>
      </c>
      <c r="U272" s="5" t="s">
        <v>304</v>
      </c>
      <c r="V272" s="5" t="s">
        <v>304</v>
      </c>
      <c r="W272" s="5" t="s">
        <v>304</v>
      </c>
      <c r="X272" s="5" t="s">
        <v>301</v>
      </c>
      <c r="Y272" s="5" t="s">
        <v>304</v>
      </c>
      <c r="Z272" s="5" t="s">
        <v>304</v>
      </c>
      <c r="AA272" s="5" t="s">
        <v>304</v>
      </c>
      <c r="AB272" s="5" t="s">
        <v>1466</v>
      </c>
      <c r="AC272" s="5" t="s">
        <v>371</v>
      </c>
      <c r="AD272" s="5" t="s">
        <v>301</v>
      </c>
      <c r="AE272" s="5">
        <v>2</v>
      </c>
      <c r="AF272" s="5" t="s">
        <v>301</v>
      </c>
      <c r="AG272" s="5" t="s">
        <v>307</v>
      </c>
      <c r="AH272" s="5" t="s">
        <v>1467</v>
      </c>
      <c r="AI272" s="5" t="s">
        <v>1468</v>
      </c>
    </row>
    <row r="273" spans="1:35" ht="15" customHeight="1">
      <c r="A273" s="5">
        <v>271</v>
      </c>
      <c r="B273" s="5" t="s">
        <v>297</v>
      </c>
      <c r="C273" s="5" t="s">
        <v>1200</v>
      </c>
      <c r="D273" s="5" t="s">
        <v>488</v>
      </c>
      <c r="E273" s="5">
        <v>29</v>
      </c>
      <c r="F273" s="5" t="s">
        <v>300</v>
      </c>
      <c r="G273" s="5" t="s">
        <v>301</v>
      </c>
      <c r="H273" s="5" t="s">
        <v>310</v>
      </c>
      <c r="I273" s="5" t="s">
        <v>304</v>
      </c>
      <c r="J273" s="5" t="s">
        <v>304</v>
      </c>
      <c r="K273" s="5" t="s">
        <v>301</v>
      </c>
      <c r="L273" s="5" t="s">
        <v>304</v>
      </c>
      <c r="M273" s="5" t="s">
        <v>306</v>
      </c>
      <c r="N273" s="5" t="s">
        <v>304</v>
      </c>
      <c r="O273" s="5" t="s">
        <v>307</v>
      </c>
      <c r="P273" s="5" t="s">
        <v>304</v>
      </c>
      <c r="Q273" s="5" t="s">
        <v>301</v>
      </c>
      <c r="R273" s="5" t="s">
        <v>304</v>
      </c>
      <c r="S273" s="5" t="s">
        <v>307</v>
      </c>
      <c r="T273" s="5" t="s">
        <v>304</v>
      </c>
      <c r="U273" s="5" t="s">
        <v>304</v>
      </c>
      <c r="V273" s="5" t="s">
        <v>304</v>
      </c>
      <c r="W273" s="5" t="s">
        <v>304</v>
      </c>
      <c r="X273" s="5" t="s">
        <v>301</v>
      </c>
      <c r="Y273" s="5" t="s">
        <v>304</v>
      </c>
      <c r="Z273" s="5" t="s">
        <v>304</v>
      </c>
      <c r="AA273" s="5" t="s">
        <v>304</v>
      </c>
      <c r="AB273" s="5" t="s">
        <v>304</v>
      </c>
      <c r="AC273" s="5" t="s">
        <v>317</v>
      </c>
      <c r="AD273" s="5" t="s">
        <v>301</v>
      </c>
      <c r="AE273" s="5">
        <v>1</v>
      </c>
      <c r="AF273" s="5" t="s">
        <v>301</v>
      </c>
      <c r="AG273" s="5" t="s">
        <v>307</v>
      </c>
      <c r="AH273" s="5" t="s">
        <v>1469</v>
      </c>
      <c r="AI273" s="5"/>
    </row>
    <row r="274" spans="1:35" ht="27.75" customHeight="1">
      <c r="A274" s="5">
        <v>272</v>
      </c>
      <c r="B274" s="5" t="s">
        <v>297</v>
      </c>
      <c r="C274" s="5" t="s">
        <v>1204</v>
      </c>
      <c r="D274" s="5" t="s">
        <v>299</v>
      </c>
      <c r="E274" s="5">
        <v>30</v>
      </c>
      <c r="F274" s="5" t="s">
        <v>300</v>
      </c>
      <c r="G274" s="5" t="s">
        <v>301</v>
      </c>
      <c r="H274" s="5" t="s">
        <v>310</v>
      </c>
      <c r="I274" s="5" t="s">
        <v>304</v>
      </c>
      <c r="J274" s="5" t="s">
        <v>304</v>
      </c>
      <c r="K274" s="5" t="s">
        <v>301</v>
      </c>
      <c r="L274" s="5" t="s">
        <v>304</v>
      </c>
      <c r="M274" s="5" t="s">
        <v>306</v>
      </c>
      <c r="N274" s="5" t="s">
        <v>304</v>
      </c>
      <c r="O274" s="5" t="s">
        <v>307</v>
      </c>
      <c r="P274" s="5" t="s">
        <v>304</v>
      </c>
      <c r="Q274" s="5" t="s">
        <v>301</v>
      </c>
      <c r="R274" s="5" t="s">
        <v>304</v>
      </c>
      <c r="S274" s="5" t="s">
        <v>307</v>
      </c>
      <c r="T274" s="5" t="s">
        <v>304</v>
      </c>
      <c r="U274" s="5" t="s">
        <v>304</v>
      </c>
      <c r="V274" s="5" t="s">
        <v>304</v>
      </c>
      <c r="W274" s="5" t="s">
        <v>304</v>
      </c>
      <c r="X274" s="5" t="s">
        <v>307</v>
      </c>
      <c r="Y274" s="5" t="s">
        <v>304</v>
      </c>
      <c r="Z274" s="5" t="s">
        <v>304</v>
      </c>
      <c r="AA274" s="5" t="s">
        <v>304</v>
      </c>
      <c r="AB274" s="5" t="s">
        <v>304</v>
      </c>
      <c r="AC274" s="5" t="s">
        <v>327</v>
      </c>
      <c r="AD274" s="5" t="s">
        <v>301</v>
      </c>
      <c r="AE274" s="5" t="s">
        <v>1470</v>
      </c>
      <c r="AF274" s="5" t="s">
        <v>301</v>
      </c>
      <c r="AG274" s="5" t="s">
        <v>307</v>
      </c>
      <c r="AH274" s="5" t="s">
        <v>1457</v>
      </c>
      <c r="AI274" s="5"/>
    </row>
    <row r="275" spans="1:35" ht="41.25" customHeight="1">
      <c r="A275" s="5">
        <v>273</v>
      </c>
      <c r="B275" s="5" t="s">
        <v>297</v>
      </c>
      <c r="C275" s="5" t="s">
        <v>1458</v>
      </c>
      <c r="D275" s="5" t="s">
        <v>299</v>
      </c>
      <c r="E275" s="5">
        <v>32</v>
      </c>
      <c r="F275" s="5" t="s">
        <v>300</v>
      </c>
      <c r="G275" s="5" t="s">
        <v>301</v>
      </c>
      <c r="H275" s="5" t="s">
        <v>310</v>
      </c>
      <c r="I275" s="5" t="s">
        <v>303</v>
      </c>
      <c r="J275" s="5" t="s">
        <v>304</v>
      </c>
      <c r="K275" s="5" t="s">
        <v>301</v>
      </c>
      <c r="L275" s="5" t="s">
        <v>304</v>
      </c>
      <c r="M275" s="5" t="s">
        <v>306</v>
      </c>
      <c r="N275" s="5" t="s">
        <v>304</v>
      </c>
      <c r="O275" s="5" t="s">
        <v>307</v>
      </c>
      <c r="P275" s="5" t="s">
        <v>304</v>
      </c>
      <c r="Q275" s="5" t="s">
        <v>301</v>
      </c>
      <c r="R275" s="5" t="s">
        <v>304</v>
      </c>
      <c r="S275" s="5" t="s">
        <v>307</v>
      </c>
      <c r="T275" s="5" t="s">
        <v>304</v>
      </c>
      <c r="U275" s="5" t="s">
        <v>304</v>
      </c>
      <c r="V275" s="5" t="s">
        <v>304</v>
      </c>
      <c r="W275" s="5" t="s">
        <v>304</v>
      </c>
      <c r="X275" s="5" t="s">
        <v>304</v>
      </c>
      <c r="Y275" s="5" t="s">
        <v>304</v>
      </c>
      <c r="Z275" s="5" t="s">
        <v>304</v>
      </c>
      <c r="AA275" s="5" t="s">
        <v>304</v>
      </c>
      <c r="AB275" s="5" t="s">
        <v>1471</v>
      </c>
      <c r="AC275" s="5" t="s">
        <v>317</v>
      </c>
      <c r="AD275" s="5" t="s">
        <v>301</v>
      </c>
      <c r="AE275" s="5">
        <v>3</v>
      </c>
      <c r="AF275" s="5" t="s">
        <v>301</v>
      </c>
      <c r="AG275" s="5" t="s">
        <v>307</v>
      </c>
      <c r="AH275" s="5" t="s">
        <v>1457</v>
      </c>
      <c r="AI275" s="5"/>
    </row>
    <row r="276" spans="1:35" ht="68.25" customHeight="1">
      <c r="A276" s="5">
        <v>274</v>
      </c>
      <c r="B276" s="5" t="s">
        <v>297</v>
      </c>
      <c r="C276" s="5" t="s">
        <v>1422</v>
      </c>
      <c r="D276" s="5" t="s">
        <v>299</v>
      </c>
      <c r="E276" s="5">
        <v>38</v>
      </c>
      <c r="F276" s="5" t="s">
        <v>300</v>
      </c>
      <c r="G276" s="5" t="s">
        <v>301</v>
      </c>
      <c r="H276" s="5" t="s">
        <v>310</v>
      </c>
      <c r="I276" s="5" t="s">
        <v>303</v>
      </c>
      <c r="J276" s="5" t="s">
        <v>304</v>
      </c>
      <c r="K276" s="5" t="s">
        <v>301</v>
      </c>
      <c r="L276" s="5" t="s">
        <v>304</v>
      </c>
      <c r="M276" s="5" t="s">
        <v>306</v>
      </c>
      <c r="N276" s="5" t="s">
        <v>304</v>
      </c>
      <c r="O276" s="5" t="s">
        <v>301</v>
      </c>
      <c r="P276" s="5" t="s">
        <v>304</v>
      </c>
      <c r="Q276" s="5" t="s">
        <v>301</v>
      </c>
      <c r="R276" s="5" t="s">
        <v>304</v>
      </c>
      <c r="S276" s="5" t="s">
        <v>307</v>
      </c>
      <c r="T276" s="5" t="s">
        <v>304</v>
      </c>
      <c r="U276" s="5" t="s">
        <v>304</v>
      </c>
      <c r="V276" s="5" t="s">
        <v>304</v>
      </c>
      <c r="W276" s="5" t="s">
        <v>304</v>
      </c>
      <c r="X276" s="5" t="s">
        <v>307</v>
      </c>
      <c r="Y276" s="5" t="s">
        <v>304</v>
      </c>
      <c r="Z276" s="5" t="s">
        <v>304</v>
      </c>
      <c r="AA276" s="5" t="s">
        <v>304</v>
      </c>
      <c r="AB276" s="5" t="s">
        <v>1472</v>
      </c>
      <c r="AC276" s="5" t="s">
        <v>371</v>
      </c>
      <c r="AD276" s="5" t="s">
        <v>301</v>
      </c>
      <c r="AE276" s="5">
        <v>3</v>
      </c>
      <c r="AF276" s="5" t="s">
        <v>301</v>
      </c>
      <c r="AG276" s="5" t="s">
        <v>307</v>
      </c>
      <c r="AH276" s="5" t="s">
        <v>1473</v>
      </c>
      <c r="AI276" s="5" t="s">
        <v>1474</v>
      </c>
    </row>
    <row r="277" spans="1:35" ht="54.75" customHeight="1">
      <c r="A277" s="5">
        <v>275</v>
      </c>
      <c r="B277" s="5" t="s">
        <v>297</v>
      </c>
      <c r="C277" s="5" t="s">
        <v>1461</v>
      </c>
      <c r="D277" s="5" t="s">
        <v>337</v>
      </c>
      <c r="E277" s="5">
        <v>64</v>
      </c>
      <c r="F277" s="5" t="s">
        <v>300</v>
      </c>
      <c r="G277" s="5" t="s">
        <v>301</v>
      </c>
      <c r="H277" s="5" t="s">
        <v>310</v>
      </c>
      <c r="I277" s="5" t="s">
        <v>303</v>
      </c>
      <c r="J277" s="5" t="s">
        <v>304</v>
      </c>
      <c r="K277" s="5" t="s">
        <v>301</v>
      </c>
      <c r="L277" s="5" t="s">
        <v>304</v>
      </c>
      <c r="M277" s="5" t="s">
        <v>306</v>
      </c>
      <c r="N277" s="5" t="s">
        <v>304</v>
      </c>
      <c r="O277" s="5" t="s">
        <v>307</v>
      </c>
      <c r="P277" s="5" t="s">
        <v>304</v>
      </c>
      <c r="Q277" s="5" t="s">
        <v>301</v>
      </c>
      <c r="R277" s="5" t="s">
        <v>304</v>
      </c>
      <c r="S277" s="5" t="s">
        <v>301</v>
      </c>
      <c r="T277" s="5"/>
      <c r="U277" s="5" t="s">
        <v>304</v>
      </c>
      <c r="V277" s="5" t="s">
        <v>304</v>
      </c>
      <c r="W277" s="5" t="s">
        <v>304</v>
      </c>
      <c r="X277" s="5" t="s">
        <v>301</v>
      </c>
      <c r="Y277" s="5" t="s">
        <v>304</v>
      </c>
      <c r="Z277" s="5" t="s">
        <v>304</v>
      </c>
      <c r="AA277" s="5" t="s">
        <v>304</v>
      </c>
      <c r="AB277" s="5" t="s">
        <v>1475</v>
      </c>
      <c r="AC277" s="5" t="s">
        <v>371</v>
      </c>
      <c r="AD277" s="5" t="s">
        <v>301</v>
      </c>
      <c r="AE277" s="5" t="s">
        <v>357</v>
      </c>
      <c r="AF277" s="5" t="s">
        <v>301</v>
      </c>
      <c r="AG277" s="5" t="s">
        <v>307</v>
      </c>
      <c r="AH277" s="5" t="s">
        <v>1476</v>
      </c>
      <c r="AI277" s="5"/>
    </row>
    <row r="278" spans="1:35" ht="68.25" customHeight="1">
      <c r="A278" s="5">
        <v>276</v>
      </c>
      <c r="B278" s="5" t="s">
        <v>297</v>
      </c>
      <c r="C278" s="5" t="s">
        <v>1477</v>
      </c>
      <c r="D278" s="5" t="s">
        <v>337</v>
      </c>
      <c r="E278" s="5">
        <v>52</v>
      </c>
      <c r="F278" s="5" t="s">
        <v>300</v>
      </c>
      <c r="G278" s="5" t="s">
        <v>301</v>
      </c>
      <c r="H278" s="5" t="s">
        <v>1478</v>
      </c>
      <c r="I278" s="5" t="s">
        <v>1479</v>
      </c>
      <c r="J278" s="5" t="s">
        <v>304</v>
      </c>
      <c r="K278" s="5" t="s">
        <v>301</v>
      </c>
      <c r="L278" s="5" t="s">
        <v>304</v>
      </c>
      <c r="M278" s="5" t="s">
        <v>306</v>
      </c>
      <c r="N278" s="5" t="s">
        <v>304</v>
      </c>
      <c r="O278" s="5" t="s">
        <v>307</v>
      </c>
      <c r="P278" s="5" t="s">
        <v>304</v>
      </c>
      <c r="Q278" s="5" t="s">
        <v>301</v>
      </c>
      <c r="R278" s="5" t="s">
        <v>304</v>
      </c>
      <c r="S278" s="5" t="s">
        <v>301</v>
      </c>
      <c r="T278" s="5" t="s">
        <v>1480</v>
      </c>
      <c r="U278" s="5" t="s">
        <v>1481</v>
      </c>
      <c r="V278" s="5" t="s">
        <v>304</v>
      </c>
      <c r="W278" s="5" t="s">
        <v>304</v>
      </c>
      <c r="X278" s="5" t="s">
        <v>301</v>
      </c>
      <c r="Y278" s="5" t="s">
        <v>304</v>
      </c>
      <c r="Z278" s="5" t="s">
        <v>304</v>
      </c>
      <c r="AA278" s="5" t="s">
        <v>304</v>
      </c>
      <c r="AB278" s="5" t="s">
        <v>1482</v>
      </c>
      <c r="AC278" s="5" t="s">
        <v>371</v>
      </c>
      <c r="AD278" s="5" t="s">
        <v>301</v>
      </c>
      <c r="AE278" s="5">
        <v>5</v>
      </c>
      <c r="AF278" s="5" t="s">
        <v>301</v>
      </c>
      <c r="AG278" s="5" t="s">
        <v>307</v>
      </c>
      <c r="AH278" s="5" t="s">
        <v>1483</v>
      </c>
      <c r="AI278" s="5"/>
    </row>
    <row r="279" spans="1:35" ht="41.25" customHeight="1">
      <c r="A279" s="5">
        <v>277</v>
      </c>
      <c r="B279" s="5" t="s">
        <v>297</v>
      </c>
      <c r="C279" s="5" t="s">
        <v>893</v>
      </c>
      <c r="D279" s="5" t="s">
        <v>488</v>
      </c>
      <c r="E279" s="5">
        <v>46</v>
      </c>
      <c r="F279" s="5" t="s">
        <v>300</v>
      </c>
      <c r="G279" s="5" t="s">
        <v>307</v>
      </c>
      <c r="H279" s="5" t="s">
        <v>304</v>
      </c>
      <c r="I279" s="5" t="s">
        <v>304</v>
      </c>
      <c r="J279" s="5" t="s">
        <v>304</v>
      </c>
      <c r="K279" s="5" t="s">
        <v>301</v>
      </c>
      <c r="L279" s="5" t="s">
        <v>304</v>
      </c>
      <c r="M279" s="5" t="s">
        <v>306</v>
      </c>
      <c r="N279" s="5" t="s">
        <v>304</v>
      </c>
      <c r="O279" s="5" t="s">
        <v>307</v>
      </c>
      <c r="P279" s="5" t="s">
        <v>304</v>
      </c>
      <c r="Q279" s="5" t="s">
        <v>301</v>
      </c>
      <c r="R279" s="5" t="s">
        <v>304</v>
      </c>
      <c r="S279" s="5" t="s">
        <v>301</v>
      </c>
      <c r="T279" s="5" t="s">
        <v>1420</v>
      </c>
      <c r="U279" s="5" t="s">
        <v>1484</v>
      </c>
      <c r="V279" s="5"/>
      <c r="W279" s="5" t="s">
        <v>304</v>
      </c>
      <c r="X279" s="5" t="s">
        <v>307</v>
      </c>
      <c r="Y279" s="5" t="s">
        <v>304</v>
      </c>
      <c r="Z279" s="5" t="s">
        <v>304</v>
      </c>
      <c r="AA279" s="5" t="s">
        <v>304</v>
      </c>
      <c r="AB279" s="5" t="s">
        <v>1485</v>
      </c>
      <c r="AC279" s="5" t="s">
        <v>327</v>
      </c>
      <c r="AD279" s="5" t="s">
        <v>301</v>
      </c>
      <c r="AE279" s="5" t="s">
        <v>1486</v>
      </c>
      <c r="AF279" s="5" t="s">
        <v>301</v>
      </c>
      <c r="AG279" s="5" t="s">
        <v>307</v>
      </c>
      <c r="AH279" s="5" t="s">
        <v>1487</v>
      </c>
      <c r="AI279" s="5"/>
    </row>
    <row r="280" spans="1:35" ht="68.25" customHeight="1">
      <c r="A280" s="5">
        <v>278</v>
      </c>
      <c r="B280" s="5" t="s">
        <v>297</v>
      </c>
      <c r="C280" s="5" t="s">
        <v>1488</v>
      </c>
      <c r="D280" s="5" t="s">
        <v>337</v>
      </c>
      <c r="E280" s="5">
        <v>55</v>
      </c>
      <c r="F280" s="5" t="s">
        <v>300</v>
      </c>
      <c r="G280" s="5" t="s">
        <v>301</v>
      </c>
      <c r="H280" s="5" t="s">
        <v>1489</v>
      </c>
      <c r="I280" s="5" t="s">
        <v>1490</v>
      </c>
      <c r="J280" s="5" t="s">
        <v>304</v>
      </c>
      <c r="K280" s="5" t="s">
        <v>301</v>
      </c>
      <c r="L280" s="5" t="s">
        <v>304</v>
      </c>
      <c r="M280" s="5" t="s">
        <v>306</v>
      </c>
      <c r="N280" s="5" t="s">
        <v>304</v>
      </c>
      <c r="O280" s="5" t="s">
        <v>307</v>
      </c>
      <c r="P280" s="5" t="s">
        <v>304</v>
      </c>
      <c r="Q280" s="5" t="s">
        <v>301</v>
      </c>
      <c r="R280" s="5" t="s">
        <v>304</v>
      </c>
      <c r="S280" s="5" t="s">
        <v>301</v>
      </c>
      <c r="T280" s="5" t="s">
        <v>1420</v>
      </c>
      <c r="U280" s="5" t="s">
        <v>1484</v>
      </c>
      <c r="V280" s="5" t="s">
        <v>304</v>
      </c>
      <c r="W280" s="5" t="s">
        <v>304</v>
      </c>
      <c r="X280" s="5" t="s">
        <v>304</v>
      </c>
      <c r="Y280" s="5" t="s">
        <v>304</v>
      </c>
      <c r="Z280" s="5" t="s">
        <v>304</v>
      </c>
      <c r="AA280" s="5" t="s">
        <v>304</v>
      </c>
      <c r="AB280" s="5" t="s">
        <v>1491</v>
      </c>
      <c r="AC280" s="5" t="s">
        <v>327</v>
      </c>
      <c r="AD280" s="5" t="s">
        <v>301</v>
      </c>
      <c r="AE280" s="5" t="s">
        <v>350</v>
      </c>
      <c r="AF280" s="5" t="s">
        <v>301</v>
      </c>
      <c r="AG280" s="5" t="s">
        <v>307</v>
      </c>
      <c r="AH280" s="5" t="s">
        <v>1492</v>
      </c>
      <c r="AI280" s="5"/>
    </row>
    <row r="281" spans="1:35" ht="27.75" customHeight="1">
      <c r="A281" s="5">
        <v>279</v>
      </c>
      <c r="B281" s="5" t="s">
        <v>297</v>
      </c>
      <c r="C281" s="5" t="s">
        <v>628</v>
      </c>
      <c r="D281" s="5" t="s">
        <v>337</v>
      </c>
      <c r="E281" s="5">
        <v>44</v>
      </c>
      <c r="F281" s="5" t="s">
        <v>300</v>
      </c>
      <c r="G281" s="5" t="s">
        <v>301</v>
      </c>
      <c r="H281" s="5" t="s">
        <v>310</v>
      </c>
      <c r="I281" s="5" t="s">
        <v>303</v>
      </c>
      <c r="J281" s="5" t="s">
        <v>304</v>
      </c>
      <c r="K281" s="5" t="s">
        <v>301</v>
      </c>
      <c r="L281" s="5" t="s">
        <v>304</v>
      </c>
      <c r="M281" s="5" t="s">
        <v>306</v>
      </c>
      <c r="N281" s="5" t="s">
        <v>304</v>
      </c>
      <c r="O281" s="5" t="s">
        <v>307</v>
      </c>
      <c r="P281" s="5" t="s">
        <v>304</v>
      </c>
      <c r="Q281" s="5" t="s">
        <v>301</v>
      </c>
      <c r="R281" s="5" t="s">
        <v>304</v>
      </c>
      <c r="S281" s="5" t="s">
        <v>301</v>
      </c>
      <c r="T281" s="5" t="s">
        <v>304</v>
      </c>
      <c r="U281" s="5" t="s">
        <v>304</v>
      </c>
      <c r="V281" s="5" t="s">
        <v>304</v>
      </c>
      <c r="W281" s="5" t="s">
        <v>304</v>
      </c>
      <c r="X281" s="5" t="s">
        <v>301</v>
      </c>
      <c r="Y281" s="5" t="s">
        <v>304</v>
      </c>
      <c r="Z281" s="5" t="s">
        <v>304</v>
      </c>
      <c r="AA281" s="5" t="s">
        <v>304</v>
      </c>
      <c r="AB281" s="5" t="s">
        <v>304</v>
      </c>
      <c r="AC281" s="5" t="s">
        <v>327</v>
      </c>
      <c r="AD281" s="5" t="s">
        <v>301</v>
      </c>
      <c r="AE281" s="5" t="s">
        <v>806</v>
      </c>
      <c r="AF281" s="5" t="s">
        <v>301</v>
      </c>
      <c r="AG281" s="5" t="s">
        <v>307</v>
      </c>
      <c r="AH281" s="5" t="s">
        <v>1493</v>
      </c>
      <c r="AI281" s="5"/>
    </row>
    <row r="282" spans="1:35" ht="27.75" customHeight="1">
      <c r="A282" s="5">
        <v>280</v>
      </c>
      <c r="B282" s="5" t="s">
        <v>297</v>
      </c>
      <c r="C282" s="5" t="s">
        <v>1204</v>
      </c>
      <c r="D282" s="5" t="s">
        <v>299</v>
      </c>
      <c r="E282" s="5">
        <v>35</v>
      </c>
      <c r="F282" s="5" t="s">
        <v>300</v>
      </c>
      <c r="G282" s="5" t="s">
        <v>301</v>
      </c>
      <c r="H282" s="5" t="s">
        <v>303</v>
      </c>
      <c r="I282" s="5" t="s">
        <v>310</v>
      </c>
      <c r="J282" s="5" t="s">
        <v>304</v>
      </c>
      <c r="K282" s="5" t="s">
        <v>301</v>
      </c>
      <c r="L282" s="5" t="s">
        <v>304</v>
      </c>
      <c r="M282" s="5" t="s">
        <v>306</v>
      </c>
      <c r="N282" s="5" t="s">
        <v>304</v>
      </c>
      <c r="O282" s="5" t="s">
        <v>307</v>
      </c>
      <c r="P282" s="5" t="s">
        <v>304</v>
      </c>
      <c r="Q282" s="5" t="s">
        <v>301</v>
      </c>
      <c r="R282" s="5" t="s">
        <v>304</v>
      </c>
      <c r="S282" s="5" t="s">
        <v>301</v>
      </c>
      <c r="T282" s="5" t="s">
        <v>304</v>
      </c>
      <c r="U282" s="5" t="s">
        <v>304</v>
      </c>
      <c r="V282" s="5" t="s">
        <v>304</v>
      </c>
      <c r="W282" s="5" t="s">
        <v>304</v>
      </c>
      <c r="X282" s="5" t="s">
        <v>307</v>
      </c>
      <c r="Y282" s="5" t="s">
        <v>304</v>
      </c>
      <c r="Z282" s="5" t="s">
        <v>304</v>
      </c>
      <c r="AA282" s="5" t="s">
        <v>304</v>
      </c>
      <c r="AB282" s="5" t="s">
        <v>304</v>
      </c>
      <c r="AC282" s="5" t="s">
        <v>327</v>
      </c>
      <c r="AD282" s="5" t="s">
        <v>301</v>
      </c>
      <c r="AE282" s="5">
        <v>2</v>
      </c>
      <c r="AF282" s="5" t="s">
        <v>301</v>
      </c>
      <c r="AG282" s="5" t="s">
        <v>307</v>
      </c>
      <c r="AH282" s="5" t="s">
        <v>1469</v>
      </c>
      <c r="AI282" s="5" t="s">
        <v>1494</v>
      </c>
    </row>
    <row r="283" spans="1:35" ht="27.75" customHeight="1">
      <c r="A283" s="5">
        <v>281</v>
      </c>
      <c r="B283" s="5" t="s">
        <v>297</v>
      </c>
      <c r="C283" s="5" t="s">
        <v>1458</v>
      </c>
      <c r="D283" s="5" t="s">
        <v>299</v>
      </c>
      <c r="E283" s="5">
        <v>38</v>
      </c>
      <c r="F283" s="5" t="s">
        <v>300</v>
      </c>
      <c r="G283" s="5" t="s">
        <v>301</v>
      </c>
      <c r="H283" s="5" t="s">
        <v>310</v>
      </c>
      <c r="I283" s="5" t="s">
        <v>304</v>
      </c>
      <c r="J283" s="5" t="s">
        <v>304</v>
      </c>
      <c r="K283" s="5" t="s">
        <v>301</v>
      </c>
      <c r="L283" s="5" t="s">
        <v>304</v>
      </c>
      <c r="M283" s="5" t="s">
        <v>306</v>
      </c>
      <c r="N283" s="5" t="s">
        <v>304</v>
      </c>
      <c r="O283" s="5" t="s">
        <v>307</v>
      </c>
      <c r="P283" s="5" t="s">
        <v>304</v>
      </c>
      <c r="Q283" s="5" t="s">
        <v>301</v>
      </c>
      <c r="R283" s="5" t="s">
        <v>304</v>
      </c>
      <c r="S283" s="5" t="s">
        <v>301</v>
      </c>
      <c r="T283" s="5" t="s">
        <v>304</v>
      </c>
      <c r="U283" s="5" t="s">
        <v>304</v>
      </c>
      <c r="V283" s="5" t="s">
        <v>304</v>
      </c>
      <c r="W283" s="5" t="s">
        <v>304</v>
      </c>
      <c r="X283" s="5" t="s">
        <v>307</v>
      </c>
      <c r="Y283" s="5" t="s">
        <v>304</v>
      </c>
      <c r="Z283" s="5" t="s">
        <v>304</v>
      </c>
      <c r="AA283" s="5" t="s">
        <v>304</v>
      </c>
      <c r="AB283" s="5" t="s">
        <v>304</v>
      </c>
      <c r="AC283" s="5" t="s">
        <v>327</v>
      </c>
      <c r="AD283" s="5" t="s">
        <v>301</v>
      </c>
      <c r="AE283" s="5" t="s">
        <v>806</v>
      </c>
      <c r="AF283" s="5" t="s">
        <v>301</v>
      </c>
      <c r="AG283" s="5" t="s">
        <v>307</v>
      </c>
      <c r="AH283" s="5" t="s">
        <v>1495</v>
      </c>
      <c r="AI283" s="5"/>
    </row>
    <row r="284" spans="1:35" ht="41.25" customHeight="1">
      <c r="A284" s="5">
        <v>282</v>
      </c>
      <c r="B284" s="5" t="s">
        <v>297</v>
      </c>
      <c r="C284" s="5" t="s">
        <v>729</v>
      </c>
      <c r="D284" s="5" t="s">
        <v>337</v>
      </c>
      <c r="E284" s="5">
        <v>51</v>
      </c>
      <c r="F284" s="5" t="s">
        <v>300</v>
      </c>
      <c r="G284" s="5" t="s">
        <v>301</v>
      </c>
      <c r="H284" s="5" t="s">
        <v>310</v>
      </c>
      <c r="I284" s="5" t="s">
        <v>303</v>
      </c>
      <c r="J284" s="5" t="s">
        <v>304</v>
      </c>
      <c r="K284" s="5" t="s">
        <v>301</v>
      </c>
      <c r="L284" s="5" t="s">
        <v>304</v>
      </c>
      <c r="M284" s="5" t="s">
        <v>306</v>
      </c>
      <c r="N284" s="5" t="s">
        <v>304</v>
      </c>
      <c r="O284" s="5" t="s">
        <v>307</v>
      </c>
      <c r="P284" s="5" t="s">
        <v>304</v>
      </c>
      <c r="Q284" s="5" t="s">
        <v>301</v>
      </c>
      <c r="R284" s="5" t="s">
        <v>304</v>
      </c>
      <c r="S284" s="5" t="s">
        <v>301</v>
      </c>
      <c r="T284" s="5" t="s">
        <v>304</v>
      </c>
      <c r="U284" s="5" t="s">
        <v>304</v>
      </c>
      <c r="V284" s="5" t="s">
        <v>304</v>
      </c>
      <c r="W284" s="5" t="s">
        <v>304</v>
      </c>
      <c r="X284" s="5" t="s">
        <v>301</v>
      </c>
      <c r="Y284" s="5" t="s">
        <v>304</v>
      </c>
      <c r="Z284" s="5" t="s">
        <v>304</v>
      </c>
      <c r="AA284" s="5" t="s">
        <v>304</v>
      </c>
      <c r="AB284" s="5" t="s">
        <v>1308</v>
      </c>
      <c r="AC284" s="5" t="s">
        <v>327</v>
      </c>
      <c r="AD284" s="5" t="s">
        <v>301</v>
      </c>
      <c r="AE284" s="5" t="s">
        <v>1496</v>
      </c>
      <c r="AF284" s="5" t="s">
        <v>301</v>
      </c>
      <c r="AG284" s="5" t="s">
        <v>307</v>
      </c>
      <c r="AH284" s="5" t="s">
        <v>1497</v>
      </c>
      <c r="AI284" s="5"/>
    </row>
    <row r="285" spans="1:35" ht="54.75" customHeight="1">
      <c r="A285" s="5">
        <v>283</v>
      </c>
      <c r="B285" s="5" t="s">
        <v>297</v>
      </c>
      <c r="C285" s="5" t="s">
        <v>1498</v>
      </c>
      <c r="D285" s="5" t="s">
        <v>337</v>
      </c>
      <c r="E285" s="5">
        <v>39</v>
      </c>
      <c r="F285" s="5" t="s">
        <v>300</v>
      </c>
      <c r="G285" s="5" t="s">
        <v>301</v>
      </c>
      <c r="H285" s="5" t="s">
        <v>310</v>
      </c>
      <c r="I285" s="5" t="s">
        <v>1499</v>
      </c>
      <c r="J285" s="5" t="s">
        <v>304</v>
      </c>
      <c r="K285" s="5" t="s">
        <v>301</v>
      </c>
      <c r="L285" s="5" t="s">
        <v>304</v>
      </c>
      <c r="M285" s="5" t="s">
        <v>306</v>
      </c>
      <c r="N285" s="5" t="s">
        <v>304</v>
      </c>
      <c r="O285" s="5" t="s">
        <v>307</v>
      </c>
      <c r="P285" s="5" t="s">
        <v>304</v>
      </c>
      <c r="Q285" s="5" t="s">
        <v>301</v>
      </c>
      <c r="R285" s="5" t="s">
        <v>304</v>
      </c>
      <c r="S285" s="5" t="s">
        <v>301</v>
      </c>
      <c r="T285" s="5" t="s">
        <v>304</v>
      </c>
      <c r="U285" s="5" t="s">
        <v>304</v>
      </c>
      <c r="V285" s="5" t="s">
        <v>304</v>
      </c>
      <c r="W285" s="5" t="s">
        <v>304</v>
      </c>
      <c r="X285" s="5" t="s">
        <v>301</v>
      </c>
      <c r="Y285" s="5" t="s">
        <v>304</v>
      </c>
      <c r="Z285" s="5" t="s">
        <v>304</v>
      </c>
      <c r="AA285" s="5" t="s">
        <v>304</v>
      </c>
      <c r="AB285" s="5" t="s">
        <v>1500</v>
      </c>
      <c r="AC285" s="5" t="s">
        <v>327</v>
      </c>
      <c r="AD285" s="5" t="s">
        <v>301</v>
      </c>
      <c r="AE285" s="5" t="s">
        <v>350</v>
      </c>
      <c r="AF285" s="5" t="s">
        <v>301</v>
      </c>
      <c r="AG285" s="5" t="s">
        <v>307</v>
      </c>
      <c r="AH285" s="5" t="s">
        <v>1501</v>
      </c>
      <c r="AI285" s="5"/>
    </row>
    <row r="286" spans="1:35" ht="41.25" customHeight="1">
      <c r="A286" s="5">
        <v>284</v>
      </c>
      <c r="B286" s="5" t="s">
        <v>297</v>
      </c>
      <c r="C286" s="5" t="s">
        <v>1458</v>
      </c>
      <c r="D286" s="5" t="s">
        <v>299</v>
      </c>
      <c r="E286" s="5">
        <v>28</v>
      </c>
      <c r="F286" s="5" t="s">
        <v>300</v>
      </c>
      <c r="G286" s="5" t="s">
        <v>301</v>
      </c>
      <c r="H286" s="5" t="s">
        <v>310</v>
      </c>
      <c r="I286" s="5" t="s">
        <v>303</v>
      </c>
      <c r="J286" s="5" t="s">
        <v>304</v>
      </c>
      <c r="K286" s="5" t="s">
        <v>301</v>
      </c>
      <c r="L286" s="5" t="s">
        <v>304</v>
      </c>
      <c r="M286" s="5" t="s">
        <v>306</v>
      </c>
      <c r="N286" s="5" t="s">
        <v>304</v>
      </c>
      <c r="O286" s="5" t="s">
        <v>307</v>
      </c>
      <c r="P286" s="5" t="s">
        <v>304</v>
      </c>
      <c r="Q286" s="5" t="s">
        <v>301</v>
      </c>
      <c r="R286" s="5" t="s">
        <v>304</v>
      </c>
      <c r="S286" s="5" t="s">
        <v>301</v>
      </c>
      <c r="T286" s="5" t="s">
        <v>1502</v>
      </c>
      <c r="U286" s="5" t="s">
        <v>304</v>
      </c>
      <c r="V286" s="5" t="s">
        <v>304</v>
      </c>
      <c r="W286" s="5" t="s">
        <v>304</v>
      </c>
      <c r="X286" s="5" t="s">
        <v>301</v>
      </c>
      <c r="Y286" s="5" t="s">
        <v>304</v>
      </c>
      <c r="Z286" s="5" t="s">
        <v>304</v>
      </c>
      <c r="AA286" s="5" t="s">
        <v>304</v>
      </c>
      <c r="AB286" s="5" t="s">
        <v>1503</v>
      </c>
      <c r="AC286" s="5" t="s">
        <v>327</v>
      </c>
      <c r="AD286" s="5" t="s">
        <v>301</v>
      </c>
      <c r="AE286" s="5" t="s">
        <v>1504</v>
      </c>
      <c r="AF286" s="5" t="s">
        <v>301</v>
      </c>
      <c r="AG286" s="5" t="s">
        <v>307</v>
      </c>
      <c r="AH286" s="5" t="s">
        <v>1505</v>
      </c>
      <c r="AI286" s="5"/>
    </row>
    <row r="287" spans="1:35" ht="54.75" customHeight="1">
      <c r="A287" s="5">
        <v>285</v>
      </c>
      <c r="B287" s="5" t="s">
        <v>297</v>
      </c>
      <c r="C287" s="5" t="s">
        <v>1180</v>
      </c>
      <c r="D287" s="5" t="s">
        <v>299</v>
      </c>
      <c r="E287" s="5">
        <v>49</v>
      </c>
      <c r="F287" s="5" t="s">
        <v>300</v>
      </c>
      <c r="G287" s="5" t="s">
        <v>307</v>
      </c>
      <c r="H287" s="5" t="s">
        <v>1506</v>
      </c>
      <c r="I287" s="5" t="s">
        <v>829</v>
      </c>
      <c r="J287" s="5" t="s">
        <v>787</v>
      </c>
      <c r="K287" s="5" t="s">
        <v>1507</v>
      </c>
      <c r="L287" s="5" t="s">
        <v>787</v>
      </c>
      <c r="M287" s="5" t="s">
        <v>306</v>
      </c>
      <c r="N287" s="5" t="s">
        <v>787</v>
      </c>
      <c r="O287" s="5" t="s">
        <v>1507</v>
      </c>
      <c r="P287" s="5" t="s">
        <v>1508</v>
      </c>
      <c r="Q287" s="5" t="s">
        <v>301</v>
      </c>
      <c r="R287" s="5" t="s">
        <v>787</v>
      </c>
      <c r="S287" s="5" t="s">
        <v>301</v>
      </c>
      <c r="T287" s="5" t="s">
        <v>1509</v>
      </c>
      <c r="U287" s="5" t="s">
        <v>787</v>
      </c>
      <c r="V287" s="5" t="s">
        <v>787</v>
      </c>
      <c r="W287" s="5" t="s">
        <v>1510</v>
      </c>
      <c r="X287" s="5" t="s">
        <v>1507</v>
      </c>
      <c r="Y287" s="5" t="s">
        <v>787</v>
      </c>
      <c r="Z287" s="5" t="s">
        <v>787</v>
      </c>
      <c r="AA287" s="5" t="s">
        <v>787</v>
      </c>
      <c r="AB287" s="5" t="s">
        <v>1511</v>
      </c>
      <c r="AC287" s="5" t="s">
        <v>1512</v>
      </c>
      <c r="AD287" s="5" t="s">
        <v>1513</v>
      </c>
      <c r="AE287" s="5">
        <v>0</v>
      </c>
      <c r="AF287" s="5" t="s">
        <v>1513</v>
      </c>
      <c r="AG287" s="5" t="s">
        <v>1513</v>
      </c>
      <c r="AH287" s="5" t="s">
        <v>1514</v>
      </c>
      <c r="AI287" s="5"/>
    </row>
    <row r="288" spans="1:35" ht="27.75" customHeight="1">
      <c r="A288" s="5">
        <v>286</v>
      </c>
      <c r="B288" s="5" t="s">
        <v>297</v>
      </c>
      <c r="C288" s="5" t="s">
        <v>1180</v>
      </c>
      <c r="D288" s="5" t="s">
        <v>299</v>
      </c>
      <c r="E288" s="5">
        <v>35</v>
      </c>
      <c r="F288" s="5" t="s">
        <v>300</v>
      </c>
      <c r="G288" s="5" t="s">
        <v>307</v>
      </c>
      <c r="H288" s="5" t="s">
        <v>829</v>
      </c>
      <c r="I288" s="5" t="s">
        <v>1506</v>
      </c>
      <c r="J288" s="5" t="s">
        <v>787</v>
      </c>
      <c r="K288" s="5" t="s">
        <v>1507</v>
      </c>
      <c r="L288" s="5" t="s">
        <v>787</v>
      </c>
      <c r="M288" s="5" t="s">
        <v>306</v>
      </c>
      <c r="N288" s="5" t="s">
        <v>787</v>
      </c>
      <c r="O288" s="5" t="s">
        <v>1507</v>
      </c>
      <c r="P288" s="5" t="s">
        <v>1515</v>
      </c>
      <c r="Q288" s="5" t="s">
        <v>301</v>
      </c>
      <c r="R288" s="5" t="s">
        <v>787</v>
      </c>
      <c r="S288" s="5" t="s">
        <v>301</v>
      </c>
      <c r="T288" s="5" t="s">
        <v>1509</v>
      </c>
      <c r="U288" s="5" t="s">
        <v>787</v>
      </c>
      <c r="V288" s="5" t="s">
        <v>787</v>
      </c>
      <c r="W288" s="5"/>
      <c r="X288" s="5" t="s">
        <v>1507</v>
      </c>
      <c r="Y288" s="5" t="s">
        <v>1516</v>
      </c>
      <c r="Z288" s="5" t="s">
        <v>787</v>
      </c>
      <c r="AA288" s="5" t="s">
        <v>787</v>
      </c>
      <c r="AB288" s="5"/>
      <c r="AC288" s="5" t="s">
        <v>1512</v>
      </c>
      <c r="AD288" s="5"/>
      <c r="AE288" s="5">
        <v>0</v>
      </c>
      <c r="AF288" s="5" t="s">
        <v>1513</v>
      </c>
      <c r="AG288" s="5" t="s">
        <v>1513</v>
      </c>
      <c r="AH288" s="5"/>
      <c r="AI288" s="5"/>
    </row>
    <row r="289" spans="1:35" ht="27.75" customHeight="1">
      <c r="A289" s="5">
        <v>287</v>
      </c>
      <c r="B289" s="5" t="s">
        <v>297</v>
      </c>
      <c r="C289" s="5" t="s">
        <v>1180</v>
      </c>
      <c r="D289" s="5" t="s">
        <v>299</v>
      </c>
      <c r="E289" s="5">
        <v>41</v>
      </c>
      <c r="F289" s="5" t="s">
        <v>300</v>
      </c>
      <c r="G289" s="5" t="s">
        <v>307</v>
      </c>
      <c r="H289" s="5" t="s">
        <v>829</v>
      </c>
      <c r="I289" s="5" t="s">
        <v>833</v>
      </c>
      <c r="J289" s="5" t="s">
        <v>787</v>
      </c>
      <c r="K289" s="5" t="s">
        <v>1507</v>
      </c>
      <c r="L289" s="5" t="s">
        <v>787</v>
      </c>
      <c r="M289" s="5" t="s">
        <v>306</v>
      </c>
      <c r="N289" s="5"/>
      <c r="O289" s="5" t="s">
        <v>1507</v>
      </c>
      <c r="P289" s="5"/>
      <c r="Q289" s="5" t="s">
        <v>301</v>
      </c>
      <c r="R289" s="5" t="s">
        <v>787</v>
      </c>
      <c r="S289" s="5" t="s">
        <v>301</v>
      </c>
      <c r="T289" s="5" t="s">
        <v>1509</v>
      </c>
      <c r="U289" s="5" t="s">
        <v>787</v>
      </c>
      <c r="V289" s="5" t="s">
        <v>787</v>
      </c>
      <c r="W289" s="5"/>
      <c r="X289" s="5" t="s">
        <v>1507</v>
      </c>
      <c r="Y289" s="5"/>
      <c r="Z289" s="5" t="s">
        <v>787</v>
      </c>
      <c r="AA289" s="5" t="s">
        <v>787</v>
      </c>
      <c r="AB289" s="5"/>
      <c r="AC289" s="5" t="s">
        <v>1517</v>
      </c>
      <c r="AD289" s="5"/>
      <c r="AE289" s="5">
        <v>0</v>
      </c>
      <c r="AF289" s="5" t="s">
        <v>1513</v>
      </c>
      <c r="AG289" s="5" t="s">
        <v>1513</v>
      </c>
      <c r="AH289" s="5"/>
      <c r="AI289" s="5"/>
    </row>
    <row r="290" spans="1:35" ht="27.75" customHeight="1">
      <c r="A290" s="5">
        <v>288</v>
      </c>
      <c r="B290" s="5" t="s">
        <v>297</v>
      </c>
      <c r="C290" s="5" t="s">
        <v>1180</v>
      </c>
      <c r="D290" s="5" t="s">
        <v>299</v>
      </c>
      <c r="E290" s="5">
        <v>27</v>
      </c>
      <c r="F290" s="5" t="s">
        <v>300</v>
      </c>
      <c r="G290" s="5" t="s">
        <v>307</v>
      </c>
      <c r="H290" s="5" t="s">
        <v>833</v>
      </c>
      <c r="I290" s="5" t="s">
        <v>833</v>
      </c>
      <c r="J290" s="5" t="s">
        <v>787</v>
      </c>
      <c r="K290" s="5" t="s">
        <v>1507</v>
      </c>
      <c r="L290" s="5" t="s">
        <v>787</v>
      </c>
      <c r="M290" s="5" t="s">
        <v>306</v>
      </c>
      <c r="N290" s="5"/>
      <c r="O290" s="5" t="s">
        <v>1507</v>
      </c>
      <c r="P290" s="5"/>
      <c r="Q290" s="5" t="s">
        <v>301</v>
      </c>
      <c r="R290" s="5" t="s">
        <v>787</v>
      </c>
      <c r="S290" s="5" t="s">
        <v>301</v>
      </c>
      <c r="T290" s="5" t="s">
        <v>1509</v>
      </c>
      <c r="U290" s="5" t="s">
        <v>787</v>
      </c>
      <c r="V290" s="5" t="s">
        <v>787</v>
      </c>
      <c r="W290" s="5"/>
      <c r="X290" s="5" t="s">
        <v>1507</v>
      </c>
      <c r="Y290" s="5"/>
      <c r="Z290" s="5" t="s">
        <v>787</v>
      </c>
      <c r="AA290" s="5" t="s">
        <v>787</v>
      </c>
      <c r="AB290" s="5"/>
      <c r="AC290" s="5" t="s">
        <v>1517</v>
      </c>
      <c r="AD290" s="5"/>
      <c r="AE290" s="5">
        <v>0</v>
      </c>
      <c r="AF290" s="5" t="s">
        <v>1513</v>
      </c>
      <c r="AG290" s="5" t="s">
        <v>1513</v>
      </c>
      <c r="AH290" s="5"/>
      <c r="AI290" s="5"/>
    </row>
    <row r="291" spans="1:35" ht="27.75" customHeight="1">
      <c r="A291" s="5">
        <v>289</v>
      </c>
      <c r="B291" s="5" t="s">
        <v>297</v>
      </c>
      <c r="C291" s="5" t="s">
        <v>1180</v>
      </c>
      <c r="D291" s="5" t="s">
        <v>299</v>
      </c>
      <c r="E291" s="5">
        <v>23</v>
      </c>
      <c r="F291" s="5" t="s">
        <v>300</v>
      </c>
      <c r="G291" s="5" t="s">
        <v>307</v>
      </c>
      <c r="H291" s="5" t="s">
        <v>833</v>
      </c>
      <c r="I291" s="5" t="s">
        <v>833</v>
      </c>
      <c r="J291" s="5" t="s">
        <v>787</v>
      </c>
      <c r="K291" s="5" t="s">
        <v>1507</v>
      </c>
      <c r="L291" s="5" t="s">
        <v>787</v>
      </c>
      <c r="M291" s="5" t="s">
        <v>306</v>
      </c>
      <c r="N291" s="5"/>
      <c r="O291" s="5" t="s">
        <v>1507</v>
      </c>
      <c r="P291" s="5"/>
      <c r="Q291" s="5" t="s">
        <v>301</v>
      </c>
      <c r="R291" s="5" t="s">
        <v>787</v>
      </c>
      <c r="S291" s="5" t="s">
        <v>301</v>
      </c>
      <c r="T291" s="5" t="s">
        <v>1509</v>
      </c>
      <c r="U291" s="5" t="s">
        <v>787</v>
      </c>
      <c r="V291" s="5" t="s">
        <v>787</v>
      </c>
      <c r="W291" s="5"/>
      <c r="X291" s="5" t="s">
        <v>1507</v>
      </c>
      <c r="Y291" s="5"/>
      <c r="Z291" s="5" t="s">
        <v>787</v>
      </c>
      <c r="AA291" s="5" t="s">
        <v>787</v>
      </c>
      <c r="AB291" s="5"/>
      <c r="AC291" s="5" t="s">
        <v>1512</v>
      </c>
      <c r="AD291" s="5"/>
      <c r="AE291" s="5">
        <v>0</v>
      </c>
      <c r="AF291" s="5" t="s">
        <v>1513</v>
      </c>
      <c r="AG291" s="5" t="s">
        <v>1513</v>
      </c>
      <c r="AH291" s="5"/>
      <c r="AI291" s="5"/>
    </row>
    <row r="292" spans="1:35" ht="27.75" customHeight="1">
      <c r="A292" s="5">
        <v>290</v>
      </c>
      <c r="B292" s="5" t="s">
        <v>297</v>
      </c>
      <c r="C292" s="5" t="s">
        <v>1180</v>
      </c>
      <c r="D292" s="5" t="s">
        <v>299</v>
      </c>
      <c r="E292" s="5">
        <v>26</v>
      </c>
      <c r="F292" s="5" t="s">
        <v>300</v>
      </c>
      <c r="G292" s="5" t="s">
        <v>301</v>
      </c>
      <c r="H292" s="5" t="s">
        <v>833</v>
      </c>
      <c r="I292" s="5" t="s">
        <v>833</v>
      </c>
      <c r="J292" s="5" t="s">
        <v>787</v>
      </c>
      <c r="K292" s="5" t="s">
        <v>1507</v>
      </c>
      <c r="L292" s="5" t="s">
        <v>787</v>
      </c>
      <c r="M292" s="5" t="s">
        <v>306</v>
      </c>
      <c r="N292" s="5"/>
      <c r="O292" s="5" t="s">
        <v>1518</v>
      </c>
      <c r="P292" s="5"/>
      <c r="Q292" s="5" t="s">
        <v>301</v>
      </c>
      <c r="R292" s="5" t="s">
        <v>787</v>
      </c>
      <c r="S292" s="5" t="s">
        <v>301</v>
      </c>
      <c r="T292" s="5" t="s">
        <v>1509</v>
      </c>
      <c r="U292" s="5" t="s">
        <v>787</v>
      </c>
      <c r="V292" s="5" t="s">
        <v>787</v>
      </c>
      <c r="W292" s="5"/>
      <c r="X292" s="5" t="s">
        <v>1507</v>
      </c>
      <c r="Y292" s="5"/>
      <c r="Z292" s="5" t="s">
        <v>787</v>
      </c>
      <c r="AA292" s="5" t="s">
        <v>787</v>
      </c>
      <c r="AB292" s="5"/>
      <c r="AC292" s="5" t="s">
        <v>1517</v>
      </c>
      <c r="AD292" s="5"/>
      <c r="AE292" s="5">
        <v>0</v>
      </c>
      <c r="AF292" s="5" t="s">
        <v>1513</v>
      </c>
      <c r="AG292" s="5" t="s">
        <v>1513</v>
      </c>
      <c r="AH292" s="5"/>
      <c r="AI292" s="5"/>
    </row>
    <row r="293" spans="1:35" ht="27.75" customHeight="1">
      <c r="A293" s="5">
        <v>291</v>
      </c>
      <c r="B293" s="5" t="s">
        <v>297</v>
      </c>
      <c r="C293" s="5" t="s">
        <v>1180</v>
      </c>
      <c r="D293" s="5" t="s">
        <v>299</v>
      </c>
      <c r="E293" s="5">
        <v>47</v>
      </c>
      <c r="F293" s="5" t="s">
        <v>300</v>
      </c>
      <c r="G293" s="5" t="s">
        <v>301</v>
      </c>
      <c r="H293" s="5" t="s">
        <v>833</v>
      </c>
      <c r="I293" s="5" t="s">
        <v>829</v>
      </c>
      <c r="J293" s="5" t="s">
        <v>787</v>
      </c>
      <c r="K293" s="5" t="s">
        <v>1507</v>
      </c>
      <c r="L293" s="5" t="s">
        <v>787</v>
      </c>
      <c r="M293" s="5" t="s">
        <v>306</v>
      </c>
      <c r="N293" s="5"/>
      <c r="O293" s="5" t="s">
        <v>1507</v>
      </c>
      <c r="P293" s="5"/>
      <c r="Q293" s="5" t="s">
        <v>307</v>
      </c>
      <c r="R293" s="5" t="s">
        <v>787</v>
      </c>
      <c r="S293" s="5" t="s">
        <v>301</v>
      </c>
      <c r="T293" s="5" t="s">
        <v>1509</v>
      </c>
      <c r="U293" s="5" t="s">
        <v>787</v>
      </c>
      <c r="V293" s="5" t="s">
        <v>787</v>
      </c>
      <c r="W293" s="5"/>
      <c r="X293" s="5" t="s">
        <v>1507</v>
      </c>
      <c r="Y293" s="5"/>
      <c r="Z293" s="5" t="s">
        <v>787</v>
      </c>
      <c r="AA293" s="5" t="s">
        <v>787</v>
      </c>
      <c r="AB293" s="5"/>
      <c r="AC293" s="5" t="s">
        <v>1519</v>
      </c>
      <c r="AD293" s="5"/>
      <c r="AE293" s="5">
        <v>0</v>
      </c>
      <c r="AF293" s="5" t="s">
        <v>1513</v>
      </c>
      <c r="AG293" s="5" t="s">
        <v>1513</v>
      </c>
      <c r="AH293" s="5"/>
      <c r="AI293" s="5"/>
    </row>
    <row r="294" spans="1:35" ht="27.75" customHeight="1">
      <c r="A294" s="5">
        <v>292</v>
      </c>
      <c r="B294" s="5" t="s">
        <v>297</v>
      </c>
      <c r="C294" s="5" t="s">
        <v>1180</v>
      </c>
      <c r="D294" s="5" t="s">
        <v>299</v>
      </c>
      <c r="E294" s="5">
        <v>25</v>
      </c>
      <c r="F294" s="5" t="s">
        <v>300</v>
      </c>
      <c r="G294" s="5" t="s">
        <v>301</v>
      </c>
      <c r="H294" s="5" t="s">
        <v>833</v>
      </c>
      <c r="I294" s="5" t="s">
        <v>829</v>
      </c>
      <c r="J294" s="5" t="s">
        <v>787</v>
      </c>
      <c r="K294" s="5" t="s">
        <v>1507</v>
      </c>
      <c r="L294" s="5" t="s">
        <v>787</v>
      </c>
      <c r="M294" s="5" t="s">
        <v>306</v>
      </c>
      <c r="N294" s="5"/>
      <c r="O294" s="5" t="s">
        <v>1518</v>
      </c>
      <c r="P294" s="5"/>
      <c r="Q294" s="5" t="s">
        <v>307</v>
      </c>
      <c r="R294" s="5" t="s">
        <v>787</v>
      </c>
      <c r="S294" s="5" t="s">
        <v>301</v>
      </c>
      <c r="T294" s="5" t="s">
        <v>1509</v>
      </c>
      <c r="U294" s="5" t="s">
        <v>787</v>
      </c>
      <c r="V294" s="5" t="s">
        <v>787</v>
      </c>
      <c r="W294" s="5"/>
      <c r="X294" s="5" t="s">
        <v>1507</v>
      </c>
      <c r="Y294" s="5"/>
      <c r="Z294" s="5" t="s">
        <v>787</v>
      </c>
      <c r="AA294" s="5" t="s">
        <v>787</v>
      </c>
      <c r="AB294" s="5"/>
      <c r="AC294" s="5" t="s">
        <v>1517</v>
      </c>
      <c r="AD294" s="5"/>
      <c r="AE294" s="5">
        <v>0</v>
      </c>
      <c r="AF294" s="5" t="s">
        <v>1513</v>
      </c>
      <c r="AG294" s="5" t="s">
        <v>1513</v>
      </c>
      <c r="AH294" s="5"/>
      <c r="AI294" s="5"/>
    </row>
    <row r="295" spans="1:35" ht="27.75" customHeight="1">
      <c r="A295" s="5">
        <v>293</v>
      </c>
      <c r="B295" s="5" t="s">
        <v>297</v>
      </c>
      <c r="C295" s="5" t="s">
        <v>1180</v>
      </c>
      <c r="D295" s="5" t="s">
        <v>299</v>
      </c>
      <c r="E295" s="5">
        <v>32</v>
      </c>
      <c r="F295" s="5" t="s">
        <v>300</v>
      </c>
      <c r="G295" s="5" t="s">
        <v>301</v>
      </c>
      <c r="H295" s="5" t="s">
        <v>833</v>
      </c>
      <c r="I295" s="5" t="s">
        <v>829</v>
      </c>
      <c r="J295" s="5" t="s">
        <v>787</v>
      </c>
      <c r="K295" s="5" t="s">
        <v>1507</v>
      </c>
      <c r="L295" s="5" t="s">
        <v>787</v>
      </c>
      <c r="M295" s="5" t="s">
        <v>306</v>
      </c>
      <c r="N295" s="5"/>
      <c r="O295" s="5" t="s">
        <v>1507</v>
      </c>
      <c r="P295" s="5"/>
      <c r="Q295" s="5" t="s">
        <v>307</v>
      </c>
      <c r="R295" s="5" t="s">
        <v>787</v>
      </c>
      <c r="S295" s="5" t="s">
        <v>301</v>
      </c>
      <c r="T295" s="5" t="s">
        <v>1509</v>
      </c>
      <c r="U295" s="5" t="s">
        <v>787</v>
      </c>
      <c r="V295" s="5" t="s">
        <v>787</v>
      </c>
      <c r="W295" s="5"/>
      <c r="X295" s="5" t="s">
        <v>1507</v>
      </c>
      <c r="Y295" s="5"/>
      <c r="Z295" s="5" t="s">
        <v>787</v>
      </c>
      <c r="AA295" s="5" t="s">
        <v>787</v>
      </c>
      <c r="AB295" s="5"/>
      <c r="AC295" s="5" t="s">
        <v>1520</v>
      </c>
      <c r="AD295" s="5"/>
      <c r="AE295" s="5">
        <v>0</v>
      </c>
      <c r="AF295" s="5" t="s">
        <v>1513</v>
      </c>
      <c r="AG295" s="5" t="s">
        <v>1513</v>
      </c>
      <c r="AH295" s="5"/>
      <c r="AI295" s="5"/>
    </row>
    <row r="296" spans="1:35" ht="27.75" customHeight="1">
      <c r="A296" s="5">
        <v>294</v>
      </c>
      <c r="B296" s="5" t="s">
        <v>297</v>
      </c>
      <c r="C296" s="5" t="s">
        <v>1180</v>
      </c>
      <c r="D296" s="5" t="s">
        <v>299</v>
      </c>
      <c r="E296" s="5">
        <v>45</v>
      </c>
      <c r="F296" s="5" t="s">
        <v>300</v>
      </c>
      <c r="G296" s="5" t="s">
        <v>301</v>
      </c>
      <c r="H296" s="5" t="s">
        <v>833</v>
      </c>
      <c r="I296" s="5" t="s">
        <v>829</v>
      </c>
      <c r="J296" s="5" t="s">
        <v>787</v>
      </c>
      <c r="K296" s="5" t="s">
        <v>1507</v>
      </c>
      <c r="L296" s="5" t="s">
        <v>787</v>
      </c>
      <c r="M296" s="5" t="s">
        <v>306</v>
      </c>
      <c r="N296" s="5"/>
      <c r="O296" s="5" t="s">
        <v>1518</v>
      </c>
      <c r="P296" s="5"/>
      <c r="Q296" s="5" t="s">
        <v>307</v>
      </c>
      <c r="R296" s="5" t="s">
        <v>787</v>
      </c>
      <c r="S296" s="5" t="s">
        <v>301</v>
      </c>
      <c r="T296" s="5" t="s">
        <v>1509</v>
      </c>
      <c r="U296" s="5" t="s">
        <v>787</v>
      </c>
      <c r="V296" s="5" t="s">
        <v>787</v>
      </c>
      <c r="W296" s="5"/>
      <c r="X296" s="5" t="s">
        <v>1507</v>
      </c>
      <c r="Y296" s="5"/>
      <c r="Z296" s="5" t="s">
        <v>787</v>
      </c>
      <c r="AA296" s="5" t="s">
        <v>787</v>
      </c>
      <c r="AB296" s="5"/>
      <c r="AC296" s="5" t="s">
        <v>1512</v>
      </c>
      <c r="AD296" s="5"/>
      <c r="AE296" s="5">
        <v>0</v>
      </c>
      <c r="AF296" s="5" t="s">
        <v>1513</v>
      </c>
      <c r="AG296" s="5" t="s">
        <v>1513</v>
      </c>
      <c r="AH296" s="5"/>
      <c r="AI296" s="5"/>
    </row>
    <row r="297" spans="1:35" ht="27.75" customHeight="1">
      <c r="A297" s="5">
        <v>295</v>
      </c>
      <c r="B297" s="5" t="s">
        <v>297</v>
      </c>
      <c r="C297" s="5" t="s">
        <v>1521</v>
      </c>
      <c r="D297" s="5" t="s">
        <v>337</v>
      </c>
      <c r="E297" s="5">
        <v>41</v>
      </c>
      <c r="F297" s="5" t="s">
        <v>300</v>
      </c>
      <c r="G297" s="5" t="s">
        <v>301</v>
      </c>
      <c r="H297" s="5" t="s">
        <v>833</v>
      </c>
      <c r="I297" s="5" t="s">
        <v>833</v>
      </c>
      <c r="J297" s="5" t="s">
        <v>787</v>
      </c>
      <c r="K297" s="5" t="s">
        <v>1507</v>
      </c>
      <c r="L297" s="5" t="s">
        <v>787</v>
      </c>
      <c r="M297" s="5" t="s">
        <v>313</v>
      </c>
      <c r="N297" s="5"/>
      <c r="O297" s="5" t="s">
        <v>307</v>
      </c>
      <c r="P297" s="5"/>
      <c r="Q297" s="5" t="s">
        <v>307</v>
      </c>
      <c r="R297" s="5" t="s">
        <v>787</v>
      </c>
      <c r="S297" s="5" t="s">
        <v>301</v>
      </c>
      <c r="T297" s="5" t="s">
        <v>1509</v>
      </c>
      <c r="U297" s="5" t="s">
        <v>787</v>
      </c>
      <c r="V297" s="5" t="s">
        <v>787</v>
      </c>
      <c r="W297" s="5"/>
      <c r="X297" s="5" t="s">
        <v>1507</v>
      </c>
      <c r="Y297" s="5"/>
      <c r="Z297" s="5" t="s">
        <v>787</v>
      </c>
      <c r="AA297" s="5" t="s">
        <v>787</v>
      </c>
      <c r="AB297" s="5"/>
      <c r="AC297" s="5" t="s">
        <v>1512</v>
      </c>
      <c r="AD297" s="5" t="s">
        <v>301</v>
      </c>
      <c r="AE297" s="5">
        <v>0</v>
      </c>
      <c r="AF297" s="5" t="s">
        <v>1513</v>
      </c>
      <c r="AG297" s="5" t="s">
        <v>1513</v>
      </c>
      <c r="AH297" s="5"/>
      <c r="AI297" s="5"/>
    </row>
    <row r="298" spans="1:35" ht="27.75" customHeight="1">
      <c r="A298" s="5">
        <v>296</v>
      </c>
      <c r="B298" s="5" t="s">
        <v>297</v>
      </c>
      <c r="C298" s="5" t="s">
        <v>1180</v>
      </c>
      <c r="D298" s="5" t="s">
        <v>299</v>
      </c>
      <c r="E298" s="5">
        <v>21</v>
      </c>
      <c r="F298" s="5" t="s">
        <v>300</v>
      </c>
      <c r="G298" s="5" t="s">
        <v>307</v>
      </c>
      <c r="H298" s="5" t="s">
        <v>787</v>
      </c>
      <c r="I298" s="5" t="s">
        <v>787</v>
      </c>
      <c r="J298" s="5" t="s">
        <v>787</v>
      </c>
      <c r="K298" s="5" t="s">
        <v>1507</v>
      </c>
      <c r="L298" s="5" t="s">
        <v>787</v>
      </c>
      <c r="M298" s="5" t="s">
        <v>306</v>
      </c>
      <c r="N298" s="5"/>
      <c r="O298" s="5" t="s">
        <v>1507</v>
      </c>
      <c r="P298" s="5"/>
      <c r="Q298" s="5" t="s">
        <v>307</v>
      </c>
      <c r="R298" s="5" t="s">
        <v>787</v>
      </c>
      <c r="S298" s="5" t="s">
        <v>301</v>
      </c>
      <c r="T298" s="5" t="s">
        <v>1509</v>
      </c>
      <c r="U298" s="5" t="s">
        <v>787</v>
      </c>
      <c r="V298" s="5" t="s">
        <v>787</v>
      </c>
      <c r="W298" s="5"/>
      <c r="X298" s="5" t="s">
        <v>1507</v>
      </c>
      <c r="Y298" s="5"/>
      <c r="Z298" s="5" t="s">
        <v>787</v>
      </c>
      <c r="AA298" s="5" t="s">
        <v>787</v>
      </c>
      <c r="AB298" s="5"/>
      <c r="AC298" s="5" t="s">
        <v>1512</v>
      </c>
      <c r="AD298" s="5"/>
      <c r="AE298" s="5">
        <v>0</v>
      </c>
      <c r="AF298" s="5" t="s">
        <v>1513</v>
      </c>
      <c r="AG298" s="5" t="s">
        <v>1513</v>
      </c>
      <c r="AH298" s="5"/>
      <c r="AI298" s="5"/>
    </row>
    <row r="299" spans="1:35" ht="27.75" customHeight="1">
      <c r="A299" s="5">
        <v>297</v>
      </c>
      <c r="B299" s="5" t="s">
        <v>297</v>
      </c>
      <c r="C299" s="5" t="s">
        <v>1180</v>
      </c>
      <c r="D299" s="5" t="s">
        <v>299</v>
      </c>
      <c r="E299" s="5">
        <v>53</v>
      </c>
      <c r="F299" s="5" t="s">
        <v>300</v>
      </c>
      <c r="G299" s="5" t="s">
        <v>301</v>
      </c>
      <c r="H299" s="5" t="s">
        <v>829</v>
      </c>
      <c r="I299" s="5" t="s">
        <v>833</v>
      </c>
      <c r="J299" s="5" t="s">
        <v>1506</v>
      </c>
      <c r="K299" s="5" t="s">
        <v>1507</v>
      </c>
      <c r="L299" s="5" t="s">
        <v>787</v>
      </c>
      <c r="M299" s="5" t="s">
        <v>306</v>
      </c>
      <c r="N299" s="5"/>
      <c r="O299" s="5" t="s">
        <v>1518</v>
      </c>
      <c r="P299" s="5"/>
      <c r="Q299" s="5" t="s">
        <v>307</v>
      </c>
      <c r="R299" s="5" t="s">
        <v>787</v>
      </c>
      <c r="S299" s="5" t="s">
        <v>301</v>
      </c>
      <c r="T299" s="5" t="s">
        <v>1509</v>
      </c>
      <c r="U299" s="5" t="s">
        <v>787</v>
      </c>
      <c r="V299" s="5" t="s">
        <v>787</v>
      </c>
      <c r="W299" s="5"/>
      <c r="X299" s="5" t="s">
        <v>1507</v>
      </c>
      <c r="Y299" s="5"/>
      <c r="Z299" s="5" t="s">
        <v>787</v>
      </c>
      <c r="AA299" s="5" t="s">
        <v>787</v>
      </c>
      <c r="AB299" s="5"/>
      <c r="AC299" s="5" t="s">
        <v>1517</v>
      </c>
      <c r="AD299" s="5"/>
      <c r="AE299" s="5">
        <v>0</v>
      </c>
      <c r="AF299" s="5" t="s">
        <v>1513</v>
      </c>
      <c r="AG299" s="5" t="s">
        <v>1513</v>
      </c>
      <c r="AH299" s="5"/>
      <c r="AI299" s="5"/>
    </row>
    <row r="300" spans="1:35" ht="27.75" customHeight="1">
      <c r="A300" s="5">
        <v>298</v>
      </c>
      <c r="B300" s="5" t="s">
        <v>297</v>
      </c>
      <c r="C300" s="5" t="s">
        <v>1180</v>
      </c>
      <c r="D300" s="5" t="s">
        <v>299</v>
      </c>
      <c r="E300" s="5">
        <v>32</v>
      </c>
      <c r="F300" s="5" t="s">
        <v>300</v>
      </c>
      <c r="G300" s="5" t="s">
        <v>301</v>
      </c>
      <c r="H300" s="5" t="s">
        <v>829</v>
      </c>
      <c r="I300" s="5" t="s">
        <v>833</v>
      </c>
      <c r="J300" s="5" t="s">
        <v>1506</v>
      </c>
      <c r="K300" s="5" t="s">
        <v>1507</v>
      </c>
      <c r="L300" s="5" t="s">
        <v>787</v>
      </c>
      <c r="M300" s="5" t="s">
        <v>306</v>
      </c>
      <c r="N300" s="5"/>
      <c r="O300" s="5" t="s">
        <v>1507</v>
      </c>
      <c r="P300" s="5"/>
      <c r="Q300" s="5" t="s">
        <v>307</v>
      </c>
      <c r="R300" s="5" t="s">
        <v>787</v>
      </c>
      <c r="S300" s="5" t="s">
        <v>301</v>
      </c>
      <c r="T300" s="5" t="s">
        <v>1509</v>
      </c>
      <c r="U300" s="5" t="s">
        <v>787</v>
      </c>
      <c r="V300" s="5" t="s">
        <v>787</v>
      </c>
      <c r="W300" s="5"/>
      <c r="X300" s="5" t="s">
        <v>1507</v>
      </c>
      <c r="Y300" s="5"/>
      <c r="Z300" s="5" t="s">
        <v>787</v>
      </c>
      <c r="AA300" s="5" t="s">
        <v>787</v>
      </c>
      <c r="AB300" s="5"/>
      <c r="AC300" s="5" t="s">
        <v>1517</v>
      </c>
      <c r="AD300" s="5"/>
      <c r="AE300" s="5">
        <v>0</v>
      </c>
      <c r="AF300" s="5" t="s">
        <v>1513</v>
      </c>
      <c r="AG300" s="5" t="s">
        <v>1513</v>
      </c>
      <c r="AH300" s="5"/>
      <c r="AI300" s="5"/>
    </row>
    <row r="301" spans="1:35" ht="27.75" customHeight="1">
      <c r="A301" s="5">
        <v>299</v>
      </c>
      <c r="B301" s="5" t="s">
        <v>297</v>
      </c>
      <c r="C301" s="5" t="s">
        <v>1180</v>
      </c>
      <c r="D301" s="5" t="s">
        <v>299</v>
      </c>
      <c r="E301" s="5">
        <v>30</v>
      </c>
      <c r="F301" s="5" t="s">
        <v>300</v>
      </c>
      <c r="G301" s="5" t="s">
        <v>301</v>
      </c>
      <c r="H301" s="5" t="s">
        <v>829</v>
      </c>
      <c r="I301" s="5" t="s">
        <v>833</v>
      </c>
      <c r="J301" s="5" t="s">
        <v>1506</v>
      </c>
      <c r="K301" s="5" t="s">
        <v>1507</v>
      </c>
      <c r="L301" s="5" t="s">
        <v>787</v>
      </c>
      <c r="M301" s="5" t="s">
        <v>306</v>
      </c>
      <c r="N301" s="5"/>
      <c r="O301" s="5" t="s">
        <v>1518</v>
      </c>
      <c r="P301" s="5"/>
      <c r="Q301" s="5" t="s">
        <v>301</v>
      </c>
      <c r="R301" s="5" t="s">
        <v>787</v>
      </c>
      <c r="S301" s="5" t="s">
        <v>301</v>
      </c>
      <c r="T301" s="5" t="s">
        <v>1509</v>
      </c>
      <c r="U301" s="5" t="s">
        <v>787</v>
      </c>
      <c r="V301" s="5" t="s">
        <v>787</v>
      </c>
      <c r="W301" s="5"/>
      <c r="X301" s="5" t="s">
        <v>1507</v>
      </c>
      <c r="Y301" s="5"/>
      <c r="Z301" s="5" t="s">
        <v>787</v>
      </c>
      <c r="AA301" s="5" t="s">
        <v>787</v>
      </c>
      <c r="AB301" s="5"/>
      <c r="AC301" s="5" t="s">
        <v>1512</v>
      </c>
      <c r="AD301" s="5"/>
      <c r="AE301" s="5">
        <v>0</v>
      </c>
      <c r="AF301" s="5" t="s">
        <v>1513</v>
      </c>
      <c r="AG301" s="5" t="s">
        <v>1513</v>
      </c>
      <c r="AH301" s="5"/>
      <c r="AI301" s="5"/>
    </row>
    <row r="302" spans="1:35" ht="27.75" customHeight="1">
      <c r="A302" s="5">
        <v>300</v>
      </c>
      <c r="B302" s="5" t="s">
        <v>297</v>
      </c>
      <c r="C302" s="5" t="s">
        <v>1180</v>
      </c>
      <c r="D302" s="5" t="s">
        <v>299</v>
      </c>
      <c r="E302" s="5">
        <v>21</v>
      </c>
      <c r="F302" s="5" t="s">
        <v>300</v>
      </c>
      <c r="G302" s="5" t="s">
        <v>301</v>
      </c>
      <c r="H302" s="5" t="s">
        <v>829</v>
      </c>
      <c r="I302" s="5" t="s">
        <v>833</v>
      </c>
      <c r="J302" s="5" t="s">
        <v>787</v>
      </c>
      <c r="K302" s="5" t="s">
        <v>1507</v>
      </c>
      <c r="L302" s="5" t="s">
        <v>787</v>
      </c>
      <c r="M302" s="5" t="s">
        <v>313</v>
      </c>
      <c r="N302" s="5"/>
      <c r="O302" s="5" t="s">
        <v>1507</v>
      </c>
      <c r="P302" s="5"/>
      <c r="Q302" s="5" t="s">
        <v>301</v>
      </c>
      <c r="R302" s="5" t="s">
        <v>787</v>
      </c>
      <c r="S302" s="5" t="s">
        <v>301</v>
      </c>
      <c r="T302" s="5" t="s">
        <v>1509</v>
      </c>
      <c r="U302" s="5" t="s">
        <v>787</v>
      </c>
      <c r="V302" s="5" t="s">
        <v>787</v>
      </c>
      <c r="W302" s="5"/>
      <c r="X302" s="5" t="s">
        <v>1507</v>
      </c>
      <c r="Y302" s="5"/>
      <c r="Z302" s="5" t="s">
        <v>787</v>
      </c>
      <c r="AA302" s="5" t="s">
        <v>787</v>
      </c>
      <c r="AB302" s="5"/>
      <c r="AC302" s="5" t="s">
        <v>1517</v>
      </c>
      <c r="AD302" s="5"/>
      <c r="AE302" s="5">
        <v>0</v>
      </c>
      <c r="AF302" s="5" t="s">
        <v>1513</v>
      </c>
      <c r="AG302" s="5" t="s">
        <v>1513</v>
      </c>
      <c r="AH302" s="5"/>
      <c r="AI302" s="5"/>
    </row>
    <row r="303" spans="1:35" ht="27.75" customHeight="1">
      <c r="A303" s="5">
        <v>301</v>
      </c>
      <c r="B303" s="5" t="s">
        <v>297</v>
      </c>
      <c r="C303" s="5" t="s">
        <v>1180</v>
      </c>
      <c r="D303" s="5" t="s">
        <v>299</v>
      </c>
      <c r="E303" s="5">
        <v>25</v>
      </c>
      <c r="F303" s="5" t="s">
        <v>300</v>
      </c>
      <c r="G303" s="5" t="s">
        <v>301</v>
      </c>
      <c r="H303" s="5" t="s">
        <v>829</v>
      </c>
      <c r="I303" s="5" t="s">
        <v>833</v>
      </c>
      <c r="J303" s="5" t="s">
        <v>787</v>
      </c>
      <c r="K303" s="5" t="s">
        <v>1507</v>
      </c>
      <c r="L303" s="5" t="s">
        <v>787</v>
      </c>
      <c r="M303" s="5" t="s">
        <v>313</v>
      </c>
      <c r="N303" s="5"/>
      <c r="O303" s="5" t="s">
        <v>1507</v>
      </c>
      <c r="P303" s="5"/>
      <c r="Q303" s="5" t="s">
        <v>301</v>
      </c>
      <c r="R303" s="5" t="s">
        <v>787</v>
      </c>
      <c r="S303" s="5" t="s">
        <v>301</v>
      </c>
      <c r="T303" s="5" t="s">
        <v>1509</v>
      </c>
      <c r="U303" s="5" t="s">
        <v>787</v>
      </c>
      <c r="V303" s="5" t="s">
        <v>787</v>
      </c>
      <c r="W303" s="5"/>
      <c r="X303" s="5" t="s">
        <v>1507</v>
      </c>
      <c r="Y303" s="5"/>
      <c r="Z303" s="5" t="s">
        <v>787</v>
      </c>
      <c r="AA303" s="5" t="s">
        <v>787</v>
      </c>
      <c r="AB303" s="5"/>
      <c r="AC303" s="5" t="s">
        <v>1519</v>
      </c>
      <c r="AD303" s="5"/>
      <c r="AE303" s="5">
        <v>0</v>
      </c>
      <c r="AF303" s="5" t="s">
        <v>1513</v>
      </c>
      <c r="AG303" s="5" t="s">
        <v>1513</v>
      </c>
      <c r="AH303" s="5"/>
      <c r="AI303" s="5"/>
    </row>
    <row r="304" spans="1:35" ht="27.75" customHeight="1">
      <c r="A304" s="5">
        <v>302</v>
      </c>
      <c r="B304" s="5" t="s">
        <v>297</v>
      </c>
      <c r="C304" s="5" t="s">
        <v>1180</v>
      </c>
      <c r="D304" s="5" t="s">
        <v>299</v>
      </c>
      <c r="E304" s="5">
        <v>26</v>
      </c>
      <c r="F304" s="5" t="s">
        <v>300</v>
      </c>
      <c r="G304" s="5" t="s">
        <v>301</v>
      </c>
      <c r="H304" s="5" t="s">
        <v>829</v>
      </c>
      <c r="I304" s="5" t="s">
        <v>833</v>
      </c>
      <c r="J304" s="5" t="s">
        <v>787</v>
      </c>
      <c r="K304" s="5" t="s">
        <v>1507</v>
      </c>
      <c r="L304" s="5" t="s">
        <v>787</v>
      </c>
      <c r="M304" s="5" t="s">
        <v>306</v>
      </c>
      <c r="N304" s="5"/>
      <c r="O304" s="5" t="s">
        <v>1507</v>
      </c>
      <c r="P304" s="5"/>
      <c r="Q304" s="5" t="s">
        <v>301</v>
      </c>
      <c r="R304" s="5" t="s">
        <v>787</v>
      </c>
      <c r="S304" s="5" t="s">
        <v>301</v>
      </c>
      <c r="T304" s="5" t="s">
        <v>1509</v>
      </c>
      <c r="U304" s="5" t="s">
        <v>787</v>
      </c>
      <c r="V304" s="5" t="s">
        <v>787</v>
      </c>
      <c r="W304" s="5"/>
      <c r="X304" s="5" t="s">
        <v>1507</v>
      </c>
      <c r="Y304" s="5"/>
      <c r="Z304" s="5" t="s">
        <v>787</v>
      </c>
      <c r="AA304" s="5" t="s">
        <v>787</v>
      </c>
      <c r="AB304" s="5"/>
      <c r="AC304" s="5" t="s">
        <v>1517</v>
      </c>
      <c r="AD304" s="5"/>
      <c r="AE304" s="5">
        <v>0</v>
      </c>
      <c r="AF304" s="5" t="s">
        <v>1513</v>
      </c>
      <c r="AG304" s="5" t="s">
        <v>1513</v>
      </c>
      <c r="AH304" s="5"/>
      <c r="AI304" s="5"/>
    </row>
    <row r="305" spans="1:35" ht="27.75" customHeight="1">
      <c r="A305" s="5">
        <v>303</v>
      </c>
      <c r="B305" s="5" t="s">
        <v>297</v>
      </c>
      <c r="C305" s="5" t="s">
        <v>1522</v>
      </c>
      <c r="D305" s="5" t="s">
        <v>337</v>
      </c>
      <c r="E305" s="5">
        <v>45</v>
      </c>
      <c r="F305" s="5" t="s">
        <v>300</v>
      </c>
      <c r="G305" s="5" t="s">
        <v>301</v>
      </c>
      <c r="H305" s="5" t="s">
        <v>829</v>
      </c>
      <c r="I305" s="5" t="s">
        <v>833</v>
      </c>
      <c r="J305" s="5" t="s">
        <v>787</v>
      </c>
      <c r="K305" s="5" t="s">
        <v>1507</v>
      </c>
      <c r="L305" s="5" t="s">
        <v>787</v>
      </c>
      <c r="M305" s="5" t="s">
        <v>306</v>
      </c>
      <c r="N305" s="5"/>
      <c r="O305" s="5" t="s">
        <v>307</v>
      </c>
      <c r="P305" s="5"/>
      <c r="Q305" s="5" t="s">
        <v>307</v>
      </c>
      <c r="R305" s="5" t="s">
        <v>787</v>
      </c>
      <c r="S305" s="5" t="s">
        <v>301</v>
      </c>
      <c r="T305" s="5" t="s">
        <v>1509</v>
      </c>
      <c r="U305" s="5" t="s">
        <v>787</v>
      </c>
      <c r="V305" s="5" t="s">
        <v>787</v>
      </c>
      <c r="W305" s="5"/>
      <c r="X305" s="5" t="s">
        <v>1507</v>
      </c>
      <c r="Y305" s="5"/>
      <c r="Z305" s="5" t="s">
        <v>787</v>
      </c>
      <c r="AA305" s="5" t="s">
        <v>787</v>
      </c>
      <c r="AB305" s="5"/>
      <c r="AC305" s="5" t="s">
        <v>1512</v>
      </c>
      <c r="AD305" s="5" t="s">
        <v>301</v>
      </c>
      <c r="AE305" s="5">
        <v>0</v>
      </c>
      <c r="AF305" s="5" t="s">
        <v>1513</v>
      </c>
      <c r="AG305" s="5" t="s">
        <v>1513</v>
      </c>
      <c r="AH305" s="5"/>
      <c r="AI305" s="5"/>
    </row>
    <row r="306" spans="1:35" ht="27.75" customHeight="1">
      <c r="A306" s="5">
        <v>304</v>
      </c>
      <c r="B306" s="5" t="s">
        <v>297</v>
      </c>
      <c r="C306" s="5" t="s">
        <v>1522</v>
      </c>
      <c r="D306" s="5" t="s">
        <v>337</v>
      </c>
      <c r="E306" s="5">
        <v>41</v>
      </c>
      <c r="F306" s="5" t="s">
        <v>300</v>
      </c>
      <c r="G306" s="5" t="s">
        <v>301</v>
      </c>
      <c r="H306" s="5" t="s">
        <v>829</v>
      </c>
      <c r="I306" s="5" t="s">
        <v>833</v>
      </c>
      <c r="J306" s="5" t="s">
        <v>1506</v>
      </c>
      <c r="K306" s="5" t="s">
        <v>1507</v>
      </c>
      <c r="L306" s="5" t="s">
        <v>787</v>
      </c>
      <c r="M306" s="5" t="s">
        <v>306</v>
      </c>
      <c r="N306" s="5"/>
      <c r="O306" s="5" t="s">
        <v>307</v>
      </c>
      <c r="P306" s="5"/>
      <c r="Q306" s="5" t="s">
        <v>307</v>
      </c>
      <c r="R306" s="5" t="s">
        <v>787</v>
      </c>
      <c r="S306" s="5" t="s">
        <v>301</v>
      </c>
      <c r="T306" s="5" t="s">
        <v>1509</v>
      </c>
      <c r="U306" s="5" t="s">
        <v>787</v>
      </c>
      <c r="V306" s="5" t="s">
        <v>787</v>
      </c>
      <c r="W306" s="5"/>
      <c r="X306" s="5" t="s">
        <v>1507</v>
      </c>
      <c r="Y306" s="5"/>
      <c r="Z306" s="5" t="s">
        <v>787</v>
      </c>
      <c r="AA306" s="5" t="s">
        <v>787</v>
      </c>
      <c r="AB306" s="5"/>
      <c r="AC306" s="5" t="s">
        <v>1517</v>
      </c>
      <c r="AD306" s="5" t="s">
        <v>301</v>
      </c>
      <c r="AE306" s="5">
        <v>0</v>
      </c>
      <c r="AF306" s="5" t="s">
        <v>1513</v>
      </c>
      <c r="AG306" s="5" t="s">
        <v>1513</v>
      </c>
      <c r="AH306" s="5"/>
      <c r="AI306" s="5"/>
    </row>
    <row r="307" spans="1:35" ht="27.75" customHeight="1">
      <c r="A307" s="5">
        <v>305</v>
      </c>
      <c r="B307" s="5" t="s">
        <v>297</v>
      </c>
      <c r="C307" s="5" t="s">
        <v>861</v>
      </c>
      <c r="D307" s="5" t="s">
        <v>488</v>
      </c>
      <c r="E307" s="5">
        <v>41</v>
      </c>
      <c r="F307" s="5" t="s">
        <v>300</v>
      </c>
      <c r="G307" s="5" t="s">
        <v>301</v>
      </c>
      <c r="H307" s="5" t="s">
        <v>829</v>
      </c>
      <c r="I307" s="5" t="s">
        <v>833</v>
      </c>
      <c r="J307" s="5" t="s">
        <v>1506</v>
      </c>
      <c r="K307" s="5" t="s">
        <v>1507</v>
      </c>
      <c r="L307" s="5" t="s">
        <v>787</v>
      </c>
      <c r="M307" s="5" t="s">
        <v>306</v>
      </c>
      <c r="N307" s="5"/>
      <c r="O307" s="5" t="s">
        <v>1507</v>
      </c>
      <c r="P307" s="5"/>
      <c r="Q307" s="5" t="s">
        <v>1518</v>
      </c>
      <c r="R307" s="5" t="s">
        <v>787</v>
      </c>
      <c r="S307" s="5" t="s">
        <v>301</v>
      </c>
      <c r="T307" s="5" t="s">
        <v>1509</v>
      </c>
      <c r="U307" s="5" t="s">
        <v>787</v>
      </c>
      <c r="V307" s="5" t="s">
        <v>787</v>
      </c>
      <c r="W307" s="5"/>
      <c r="X307" s="5" t="s">
        <v>1507</v>
      </c>
      <c r="Y307" s="5"/>
      <c r="Z307" s="5" t="s">
        <v>787</v>
      </c>
      <c r="AA307" s="5" t="s">
        <v>787</v>
      </c>
      <c r="AB307" s="5"/>
      <c r="AC307" s="5" t="s">
        <v>1519</v>
      </c>
      <c r="AD307" s="5"/>
      <c r="AE307" s="5">
        <v>0</v>
      </c>
      <c r="AF307" s="5" t="s">
        <v>1513</v>
      </c>
      <c r="AG307" s="5" t="s">
        <v>1513</v>
      </c>
      <c r="AH307" s="5"/>
      <c r="AI307" s="5"/>
    </row>
    <row r="308" spans="1:35" ht="27.75" customHeight="1">
      <c r="A308" s="5">
        <v>306</v>
      </c>
      <c r="B308" s="5" t="s">
        <v>297</v>
      </c>
      <c r="C308" s="5" t="s">
        <v>1180</v>
      </c>
      <c r="D308" s="5" t="s">
        <v>299</v>
      </c>
      <c r="E308" s="5">
        <v>44</v>
      </c>
      <c r="F308" s="5" t="s">
        <v>300</v>
      </c>
      <c r="G308" s="5" t="s">
        <v>301</v>
      </c>
      <c r="H308" s="5" t="s">
        <v>829</v>
      </c>
      <c r="I308" s="5" t="s">
        <v>833</v>
      </c>
      <c r="J308" s="5" t="s">
        <v>1506</v>
      </c>
      <c r="K308" s="5" t="s">
        <v>1507</v>
      </c>
      <c r="L308" s="5" t="s">
        <v>787</v>
      </c>
      <c r="M308" s="5" t="s">
        <v>313</v>
      </c>
      <c r="N308" s="5"/>
      <c r="O308" s="5" t="s">
        <v>1518</v>
      </c>
      <c r="P308" s="5"/>
      <c r="Q308" s="5" t="s">
        <v>307</v>
      </c>
      <c r="R308" s="5" t="s">
        <v>787</v>
      </c>
      <c r="S308" s="5" t="s">
        <v>301</v>
      </c>
      <c r="T308" s="5" t="s">
        <v>1509</v>
      </c>
      <c r="U308" s="5" t="s">
        <v>787</v>
      </c>
      <c r="V308" s="5" t="s">
        <v>787</v>
      </c>
      <c r="W308" s="5"/>
      <c r="X308" s="5" t="s">
        <v>1507</v>
      </c>
      <c r="Y308" s="5"/>
      <c r="Z308" s="5" t="s">
        <v>787</v>
      </c>
      <c r="AA308" s="5" t="s">
        <v>787</v>
      </c>
      <c r="AB308" s="5"/>
      <c r="AC308" s="5" t="s">
        <v>1517</v>
      </c>
      <c r="AD308" s="5"/>
      <c r="AE308" s="5">
        <v>0</v>
      </c>
      <c r="AF308" s="5" t="s">
        <v>1513</v>
      </c>
      <c r="AG308" s="5" t="s">
        <v>1513</v>
      </c>
      <c r="AH308" s="5"/>
      <c r="AI308" s="5"/>
    </row>
    <row r="309" spans="1:35" ht="27.75" customHeight="1">
      <c r="A309" s="5">
        <v>307</v>
      </c>
      <c r="B309" s="5" t="s">
        <v>297</v>
      </c>
      <c r="C309" s="5" t="s">
        <v>1523</v>
      </c>
      <c r="D309" s="5" t="s">
        <v>488</v>
      </c>
      <c r="E309" s="5">
        <v>40</v>
      </c>
      <c r="F309" s="5" t="s">
        <v>300</v>
      </c>
      <c r="G309" s="5" t="s">
        <v>301</v>
      </c>
      <c r="H309" s="5" t="s">
        <v>829</v>
      </c>
      <c r="I309" s="5" t="s">
        <v>833</v>
      </c>
      <c r="J309" s="5" t="s">
        <v>787</v>
      </c>
      <c r="K309" s="5" t="s">
        <v>1507</v>
      </c>
      <c r="L309" s="5" t="s">
        <v>787</v>
      </c>
      <c r="M309" s="5" t="s">
        <v>306</v>
      </c>
      <c r="N309" s="5"/>
      <c r="O309" s="5" t="s">
        <v>1507</v>
      </c>
      <c r="P309" s="5"/>
      <c r="Q309" s="5" t="s">
        <v>1518</v>
      </c>
      <c r="R309" s="5" t="s">
        <v>787</v>
      </c>
      <c r="S309" s="5" t="s">
        <v>301</v>
      </c>
      <c r="T309" s="5" t="s">
        <v>1509</v>
      </c>
      <c r="U309" s="5" t="s">
        <v>787</v>
      </c>
      <c r="V309" s="5" t="s">
        <v>787</v>
      </c>
      <c r="W309" s="5"/>
      <c r="X309" s="5" t="s">
        <v>1507</v>
      </c>
      <c r="Y309" s="5"/>
      <c r="Z309" s="5" t="s">
        <v>787</v>
      </c>
      <c r="AA309" s="5" t="s">
        <v>787</v>
      </c>
      <c r="AB309" s="5"/>
      <c r="AC309" s="5" t="s">
        <v>1520</v>
      </c>
      <c r="AD309" s="5"/>
      <c r="AE309" s="5">
        <v>0</v>
      </c>
      <c r="AF309" s="5" t="s">
        <v>1513</v>
      </c>
      <c r="AG309" s="5" t="s">
        <v>1513</v>
      </c>
      <c r="AH309" s="5"/>
      <c r="AI309" s="5"/>
    </row>
    <row r="310" spans="1:35" ht="27.75" customHeight="1">
      <c r="A310" s="5">
        <v>308</v>
      </c>
      <c r="B310" s="5" t="s">
        <v>297</v>
      </c>
      <c r="C310" s="5" t="s">
        <v>1180</v>
      </c>
      <c r="D310" s="5" t="s">
        <v>299</v>
      </c>
      <c r="E310" s="5">
        <v>20</v>
      </c>
      <c r="F310" s="5" t="s">
        <v>300</v>
      </c>
      <c r="G310" s="5" t="s">
        <v>301</v>
      </c>
      <c r="H310" s="5" t="s">
        <v>833</v>
      </c>
      <c r="I310" s="5" t="s">
        <v>829</v>
      </c>
      <c r="J310" s="5" t="s">
        <v>787</v>
      </c>
      <c r="K310" s="5" t="s">
        <v>1507</v>
      </c>
      <c r="L310" s="5" t="s">
        <v>787</v>
      </c>
      <c r="M310" s="5" t="s">
        <v>306</v>
      </c>
      <c r="N310" s="5"/>
      <c r="O310" s="5" t="s">
        <v>1507</v>
      </c>
      <c r="P310" s="5"/>
      <c r="Q310" s="5" t="s">
        <v>307</v>
      </c>
      <c r="R310" s="5" t="s">
        <v>787</v>
      </c>
      <c r="S310" s="5" t="s">
        <v>301</v>
      </c>
      <c r="T310" s="5" t="s">
        <v>1509</v>
      </c>
      <c r="U310" s="5" t="s">
        <v>787</v>
      </c>
      <c r="V310" s="5" t="s">
        <v>787</v>
      </c>
      <c r="W310" s="5"/>
      <c r="X310" s="5" t="s">
        <v>1507</v>
      </c>
      <c r="Y310" s="5"/>
      <c r="Z310" s="5" t="s">
        <v>787</v>
      </c>
      <c r="AA310" s="5" t="s">
        <v>787</v>
      </c>
      <c r="AB310" s="5"/>
      <c r="AC310" s="5" t="s">
        <v>1512</v>
      </c>
      <c r="AD310" s="5"/>
      <c r="AE310" s="5">
        <v>0</v>
      </c>
      <c r="AF310" s="5" t="s">
        <v>1513</v>
      </c>
      <c r="AG310" s="5" t="s">
        <v>1513</v>
      </c>
      <c r="AH310" s="5"/>
      <c r="AI310" s="5"/>
    </row>
    <row r="311" spans="1:35" ht="27.75" customHeight="1">
      <c r="A311" s="5">
        <v>309</v>
      </c>
      <c r="B311" s="5" t="s">
        <v>297</v>
      </c>
      <c r="C311" s="5" t="s">
        <v>1180</v>
      </c>
      <c r="D311" s="5" t="s">
        <v>299</v>
      </c>
      <c r="E311" s="5">
        <v>52</v>
      </c>
      <c r="F311" s="5" t="s">
        <v>300</v>
      </c>
      <c r="G311" s="5" t="s">
        <v>301</v>
      </c>
      <c r="H311" s="5" t="s">
        <v>833</v>
      </c>
      <c r="I311" s="5" t="s">
        <v>829</v>
      </c>
      <c r="J311" s="5" t="s">
        <v>787</v>
      </c>
      <c r="K311" s="5" t="s">
        <v>1507</v>
      </c>
      <c r="L311" s="5" t="s">
        <v>787</v>
      </c>
      <c r="M311" s="5" t="s">
        <v>306</v>
      </c>
      <c r="N311" s="5"/>
      <c r="O311" s="5" t="s">
        <v>1507</v>
      </c>
      <c r="P311" s="5"/>
      <c r="Q311" s="5" t="s">
        <v>307</v>
      </c>
      <c r="R311" s="5" t="s">
        <v>787</v>
      </c>
      <c r="S311" s="5" t="s">
        <v>301</v>
      </c>
      <c r="T311" s="5" t="s">
        <v>1509</v>
      </c>
      <c r="U311" s="5" t="s">
        <v>787</v>
      </c>
      <c r="V311" s="5" t="s">
        <v>787</v>
      </c>
      <c r="W311" s="5"/>
      <c r="X311" s="5" t="s">
        <v>1507</v>
      </c>
      <c r="Y311" s="5"/>
      <c r="Z311" s="5" t="s">
        <v>787</v>
      </c>
      <c r="AA311" s="5" t="s">
        <v>787</v>
      </c>
      <c r="AB311" s="5"/>
      <c r="AC311" s="5" t="s">
        <v>1512</v>
      </c>
      <c r="AD311" s="5"/>
      <c r="AE311" s="5">
        <v>0</v>
      </c>
      <c r="AF311" s="5" t="s">
        <v>1513</v>
      </c>
      <c r="AG311" s="5" t="s">
        <v>1513</v>
      </c>
      <c r="AH311" s="5"/>
      <c r="AI311" s="5"/>
    </row>
    <row r="312" spans="1:35" ht="27.75" customHeight="1">
      <c r="A312" s="5">
        <v>310</v>
      </c>
      <c r="B312" s="5" t="s">
        <v>297</v>
      </c>
      <c r="C312" s="5" t="s">
        <v>1180</v>
      </c>
      <c r="D312" s="5" t="s">
        <v>299</v>
      </c>
      <c r="E312" s="5">
        <v>42</v>
      </c>
      <c r="F312" s="5" t="s">
        <v>300</v>
      </c>
      <c r="G312" s="5" t="s">
        <v>301</v>
      </c>
      <c r="H312" s="5" t="s">
        <v>833</v>
      </c>
      <c r="I312" s="5" t="s">
        <v>829</v>
      </c>
      <c r="J312" s="5" t="s">
        <v>787</v>
      </c>
      <c r="K312" s="5" t="s">
        <v>1507</v>
      </c>
      <c r="L312" s="5" t="s">
        <v>787</v>
      </c>
      <c r="M312" s="5" t="s">
        <v>306</v>
      </c>
      <c r="N312" s="5"/>
      <c r="O312" s="5" t="s">
        <v>1518</v>
      </c>
      <c r="P312" s="5"/>
      <c r="Q312" s="5" t="s">
        <v>307</v>
      </c>
      <c r="R312" s="5" t="s">
        <v>787</v>
      </c>
      <c r="S312" s="5" t="s">
        <v>301</v>
      </c>
      <c r="T312" s="5" t="s">
        <v>1509</v>
      </c>
      <c r="U312" s="5" t="s">
        <v>787</v>
      </c>
      <c r="V312" s="5" t="s">
        <v>787</v>
      </c>
      <c r="W312" s="5"/>
      <c r="X312" s="5" t="s">
        <v>1507</v>
      </c>
      <c r="Y312" s="5"/>
      <c r="Z312" s="5" t="s">
        <v>787</v>
      </c>
      <c r="AA312" s="5" t="s">
        <v>787</v>
      </c>
      <c r="AB312" s="5"/>
      <c r="AC312" s="5" t="s">
        <v>1512</v>
      </c>
      <c r="AD312" s="5"/>
      <c r="AE312" s="5">
        <v>0</v>
      </c>
      <c r="AF312" s="5" t="s">
        <v>1513</v>
      </c>
      <c r="AG312" s="5" t="s">
        <v>1513</v>
      </c>
      <c r="AH312" s="5"/>
      <c r="AI312" s="5"/>
    </row>
    <row r="313" spans="1:35" ht="27.75" customHeight="1">
      <c r="A313" s="5">
        <v>311</v>
      </c>
      <c r="B313" s="5" t="s">
        <v>297</v>
      </c>
      <c r="C313" s="5" t="s">
        <v>1524</v>
      </c>
      <c r="D313" s="5" t="s">
        <v>488</v>
      </c>
      <c r="E313" s="5">
        <v>43</v>
      </c>
      <c r="F313" s="5" t="s">
        <v>300</v>
      </c>
      <c r="G313" s="5" t="s">
        <v>301</v>
      </c>
      <c r="H313" s="5" t="s">
        <v>833</v>
      </c>
      <c r="I313" s="5" t="s">
        <v>829</v>
      </c>
      <c r="J313" s="5" t="s">
        <v>787</v>
      </c>
      <c r="K313" s="5" t="s">
        <v>1507</v>
      </c>
      <c r="L313" s="5" t="s">
        <v>787</v>
      </c>
      <c r="M313" s="5" t="s">
        <v>306</v>
      </c>
      <c r="N313" s="5"/>
      <c r="O313" s="5" t="s">
        <v>1507</v>
      </c>
      <c r="P313" s="5"/>
      <c r="Q313" s="5" t="s">
        <v>1518</v>
      </c>
      <c r="R313" s="5" t="s">
        <v>787</v>
      </c>
      <c r="S313" s="5" t="s">
        <v>301</v>
      </c>
      <c r="T313" s="5" t="s">
        <v>1509</v>
      </c>
      <c r="U313" s="5" t="s">
        <v>787</v>
      </c>
      <c r="V313" s="5" t="s">
        <v>787</v>
      </c>
      <c r="W313" s="5"/>
      <c r="X313" s="5" t="s">
        <v>1507</v>
      </c>
      <c r="Y313" s="5"/>
      <c r="Z313" s="5" t="s">
        <v>787</v>
      </c>
      <c r="AA313" s="5" t="s">
        <v>787</v>
      </c>
      <c r="AB313" s="5"/>
      <c r="AC313" s="5" t="s">
        <v>1517</v>
      </c>
      <c r="AD313" s="5"/>
      <c r="AE313" s="5">
        <v>0</v>
      </c>
      <c r="AF313" s="5" t="s">
        <v>1513</v>
      </c>
      <c r="AG313" s="5" t="s">
        <v>1513</v>
      </c>
      <c r="AH313" s="5"/>
      <c r="AI313" s="5"/>
    </row>
    <row r="314" spans="1:35" ht="27.75" customHeight="1">
      <c r="A314" s="5">
        <v>312</v>
      </c>
      <c r="B314" s="5" t="s">
        <v>297</v>
      </c>
      <c r="C314" s="5" t="s">
        <v>1180</v>
      </c>
      <c r="D314" s="5" t="s">
        <v>299</v>
      </c>
      <c r="E314" s="5">
        <v>18</v>
      </c>
      <c r="F314" s="5" t="s">
        <v>300</v>
      </c>
      <c r="G314" s="5" t="s">
        <v>301</v>
      </c>
      <c r="H314" s="5" t="s">
        <v>829</v>
      </c>
      <c r="I314" s="5" t="s">
        <v>829</v>
      </c>
      <c r="J314" s="5" t="s">
        <v>787</v>
      </c>
      <c r="K314" s="5" t="s">
        <v>1507</v>
      </c>
      <c r="L314" s="5" t="s">
        <v>787</v>
      </c>
      <c r="M314" s="5" t="s">
        <v>313</v>
      </c>
      <c r="N314" s="5"/>
      <c r="O314" s="5" t="s">
        <v>1518</v>
      </c>
      <c r="P314" s="5"/>
      <c r="Q314" s="5" t="s">
        <v>301</v>
      </c>
      <c r="R314" s="5" t="s">
        <v>787</v>
      </c>
      <c r="S314" s="5" t="s">
        <v>301</v>
      </c>
      <c r="T314" s="5" t="s">
        <v>1509</v>
      </c>
      <c r="U314" s="5" t="s">
        <v>787</v>
      </c>
      <c r="V314" s="5" t="s">
        <v>787</v>
      </c>
      <c r="W314" s="5"/>
      <c r="X314" s="5" t="s">
        <v>1507</v>
      </c>
      <c r="Y314" s="5"/>
      <c r="Z314" s="5" t="s">
        <v>787</v>
      </c>
      <c r="AA314" s="5" t="s">
        <v>787</v>
      </c>
      <c r="AB314" s="5"/>
      <c r="AC314" s="5" t="s">
        <v>1517</v>
      </c>
      <c r="AD314" s="5"/>
      <c r="AE314" s="5">
        <v>0</v>
      </c>
      <c r="AF314" s="5" t="s">
        <v>1513</v>
      </c>
      <c r="AG314" s="5" t="s">
        <v>1513</v>
      </c>
      <c r="AH314" s="5"/>
      <c r="AI314" s="5"/>
    </row>
    <row r="315" spans="1:35" ht="27.75" customHeight="1">
      <c r="A315" s="5">
        <v>313</v>
      </c>
      <c r="B315" s="5" t="s">
        <v>297</v>
      </c>
      <c r="C315" s="5" t="s">
        <v>1524</v>
      </c>
      <c r="D315" s="5" t="s">
        <v>488</v>
      </c>
      <c r="E315" s="5">
        <v>55</v>
      </c>
      <c r="F315" s="5" t="s">
        <v>300</v>
      </c>
      <c r="G315" s="5" t="s">
        <v>301</v>
      </c>
      <c r="H315" s="5" t="s">
        <v>829</v>
      </c>
      <c r="I315" s="5" t="s">
        <v>829</v>
      </c>
      <c r="J315" s="5" t="s">
        <v>787</v>
      </c>
      <c r="K315" s="5" t="s">
        <v>1507</v>
      </c>
      <c r="L315" s="5" t="s">
        <v>787</v>
      </c>
      <c r="M315" s="5" t="s">
        <v>306</v>
      </c>
      <c r="N315" s="5"/>
      <c r="O315" s="5" t="s">
        <v>1507</v>
      </c>
      <c r="P315" s="5"/>
      <c r="Q315" s="5" t="s">
        <v>1507</v>
      </c>
      <c r="R315" s="5" t="s">
        <v>787</v>
      </c>
      <c r="S315" s="5" t="s">
        <v>301</v>
      </c>
      <c r="T315" s="5" t="s">
        <v>1509</v>
      </c>
      <c r="U315" s="5" t="s">
        <v>787</v>
      </c>
      <c r="V315" s="5" t="s">
        <v>787</v>
      </c>
      <c r="W315" s="5"/>
      <c r="X315" s="5" t="s">
        <v>1507</v>
      </c>
      <c r="Y315" s="5"/>
      <c r="Z315" s="5" t="s">
        <v>787</v>
      </c>
      <c r="AA315" s="5" t="s">
        <v>787</v>
      </c>
      <c r="AB315" s="5"/>
      <c r="AC315" s="5" t="s">
        <v>1525</v>
      </c>
      <c r="AD315" s="5"/>
      <c r="AE315" s="5">
        <v>0</v>
      </c>
      <c r="AF315" s="5" t="s">
        <v>1513</v>
      </c>
      <c r="AG315" s="5" t="s">
        <v>1513</v>
      </c>
      <c r="AH315" s="5"/>
      <c r="AI315" s="5"/>
    </row>
    <row r="316" spans="1:35" ht="27.75" customHeight="1">
      <c r="A316" s="5">
        <v>314</v>
      </c>
      <c r="B316" s="5" t="s">
        <v>297</v>
      </c>
      <c r="C316" s="5" t="s">
        <v>1180</v>
      </c>
      <c r="D316" s="5" t="s">
        <v>299</v>
      </c>
      <c r="E316" s="5">
        <v>29</v>
      </c>
      <c r="F316" s="5" t="s">
        <v>300</v>
      </c>
      <c r="G316" s="5" t="s">
        <v>301</v>
      </c>
      <c r="H316" s="5" t="s">
        <v>829</v>
      </c>
      <c r="I316" s="5" t="s">
        <v>829</v>
      </c>
      <c r="J316" s="5" t="s">
        <v>787</v>
      </c>
      <c r="K316" s="5" t="s">
        <v>1507</v>
      </c>
      <c r="L316" s="5" t="s">
        <v>787</v>
      </c>
      <c r="M316" s="5" t="s">
        <v>306</v>
      </c>
      <c r="N316" s="5"/>
      <c r="O316" s="5" t="s">
        <v>1518</v>
      </c>
      <c r="P316" s="5"/>
      <c r="Q316" s="5" t="s">
        <v>301</v>
      </c>
      <c r="R316" s="5" t="s">
        <v>787</v>
      </c>
      <c r="S316" s="5" t="s">
        <v>301</v>
      </c>
      <c r="T316" s="5" t="s">
        <v>1509</v>
      </c>
      <c r="U316" s="5" t="s">
        <v>787</v>
      </c>
      <c r="V316" s="5" t="s">
        <v>787</v>
      </c>
      <c r="W316" s="5"/>
      <c r="X316" s="5" t="s">
        <v>1507</v>
      </c>
      <c r="Y316" s="5"/>
      <c r="Z316" s="5" t="s">
        <v>787</v>
      </c>
      <c r="AA316" s="5" t="s">
        <v>787</v>
      </c>
      <c r="AB316" s="5"/>
      <c r="AC316" s="5" t="s">
        <v>1517</v>
      </c>
      <c r="AD316" s="5"/>
      <c r="AE316" s="5">
        <v>0</v>
      </c>
      <c r="AF316" s="5" t="s">
        <v>1513</v>
      </c>
      <c r="AG316" s="5" t="s">
        <v>1513</v>
      </c>
      <c r="AH316" s="5"/>
      <c r="AI316" s="5"/>
    </row>
    <row r="317" spans="1:35" ht="27.75" customHeight="1">
      <c r="A317" s="5">
        <v>315</v>
      </c>
      <c r="B317" s="5" t="s">
        <v>297</v>
      </c>
      <c r="C317" s="5" t="s">
        <v>1526</v>
      </c>
      <c r="D317" s="5" t="s">
        <v>337</v>
      </c>
      <c r="E317" s="5">
        <v>32</v>
      </c>
      <c r="F317" s="5" t="s">
        <v>300</v>
      </c>
      <c r="G317" s="5" t="s">
        <v>301</v>
      </c>
      <c r="H317" s="5" t="s">
        <v>829</v>
      </c>
      <c r="I317" s="5" t="s">
        <v>829</v>
      </c>
      <c r="J317" s="5" t="s">
        <v>787</v>
      </c>
      <c r="K317" s="5" t="s">
        <v>1507</v>
      </c>
      <c r="L317" s="5" t="s">
        <v>787</v>
      </c>
      <c r="M317" s="5" t="s">
        <v>313</v>
      </c>
      <c r="N317" s="5"/>
      <c r="O317" s="5" t="s">
        <v>307</v>
      </c>
      <c r="P317" s="5"/>
      <c r="Q317" s="5" t="s">
        <v>307</v>
      </c>
      <c r="R317" s="5" t="s">
        <v>787</v>
      </c>
      <c r="S317" s="5" t="s">
        <v>301</v>
      </c>
      <c r="T317" s="5" t="s">
        <v>1509</v>
      </c>
      <c r="U317" s="5" t="s">
        <v>787</v>
      </c>
      <c r="V317" s="5" t="s">
        <v>787</v>
      </c>
      <c r="W317" s="5"/>
      <c r="X317" s="5" t="s">
        <v>1507</v>
      </c>
      <c r="Y317" s="5"/>
      <c r="Z317" s="5" t="s">
        <v>787</v>
      </c>
      <c r="AA317" s="5" t="s">
        <v>787</v>
      </c>
      <c r="AB317" s="5"/>
      <c r="AC317" s="5" t="s">
        <v>1519</v>
      </c>
      <c r="AD317" s="5"/>
      <c r="AE317" s="5">
        <v>0</v>
      </c>
      <c r="AF317" s="5" t="s">
        <v>1513</v>
      </c>
      <c r="AG317" s="5" t="s">
        <v>1513</v>
      </c>
      <c r="AH317" s="5"/>
      <c r="AI317" s="5"/>
    </row>
    <row r="318" spans="1:35" ht="27.75" customHeight="1">
      <c r="A318" s="5">
        <v>316</v>
      </c>
      <c r="B318" s="5" t="s">
        <v>297</v>
      </c>
      <c r="C318" s="5" t="s">
        <v>1526</v>
      </c>
      <c r="D318" s="5" t="s">
        <v>337</v>
      </c>
      <c r="E318" s="5">
        <v>35</v>
      </c>
      <c r="F318" s="5" t="s">
        <v>300</v>
      </c>
      <c r="G318" s="5" t="s">
        <v>301</v>
      </c>
      <c r="H318" s="5" t="s">
        <v>829</v>
      </c>
      <c r="I318" s="5" t="s">
        <v>829</v>
      </c>
      <c r="J318" s="5" t="s">
        <v>787</v>
      </c>
      <c r="K318" s="5" t="s">
        <v>1507</v>
      </c>
      <c r="L318" s="5" t="s">
        <v>787</v>
      </c>
      <c r="M318" s="5" t="s">
        <v>313</v>
      </c>
      <c r="N318" s="5"/>
      <c r="O318" s="5" t="s">
        <v>307</v>
      </c>
      <c r="P318" s="5"/>
      <c r="Q318" s="5" t="s">
        <v>307</v>
      </c>
      <c r="R318" s="5" t="s">
        <v>787</v>
      </c>
      <c r="S318" s="5" t="s">
        <v>301</v>
      </c>
      <c r="T318" s="5" t="s">
        <v>1509</v>
      </c>
      <c r="U318" s="5" t="s">
        <v>787</v>
      </c>
      <c r="V318" s="5" t="s">
        <v>787</v>
      </c>
      <c r="W318" s="5"/>
      <c r="X318" s="5" t="s">
        <v>1507</v>
      </c>
      <c r="Y318" s="5"/>
      <c r="Z318" s="5" t="s">
        <v>787</v>
      </c>
      <c r="AA318" s="5" t="s">
        <v>787</v>
      </c>
      <c r="AB318" s="5"/>
      <c r="AC318" s="5" t="s">
        <v>1517</v>
      </c>
      <c r="AD318" s="5"/>
      <c r="AE318" s="5">
        <v>0</v>
      </c>
      <c r="AF318" s="5" t="s">
        <v>1513</v>
      </c>
      <c r="AG318" s="5" t="s">
        <v>1513</v>
      </c>
      <c r="AH318" s="5"/>
      <c r="AI318" s="5"/>
    </row>
    <row r="319" spans="1:35" ht="27.75" customHeight="1">
      <c r="A319" s="5">
        <v>317</v>
      </c>
      <c r="B319" s="5" t="s">
        <v>297</v>
      </c>
      <c r="C319" s="5" t="s">
        <v>1526</v>
      </c>
      <c r="D319" s="5" t="s">
        <v>337</v>
      </c>
      <c r="E319" s="5">
        <v>45</v>
      </c>
      <c r="F319" s="5" t="s">
        <v>300</v>
      </c>
      <c r="G319" s="5" t="s">
        <v>301</v>
      </c>
      <c r="H319" s="5" t="s">
        <v>829</v>
      </c>
      <c r="I319" s="5" t="s">
        <v>829</v>
      </c>
      <c r="J319" s="5" t="s">
        <v>787</v>
      </c>
      <c r="K319" s="5" t="s">
        <v>1507</v>
      </c>
      <c r="L319" s="5" t="s">
        <v>787</v>
      </c>
      <c r="M319" s="5" t="s">
        <v>313</v>
      </c>
      <c r="N319" s="5"/>
      <c r="O319" s="5" t="s">
        <v>307</v>
      </c>
      <c r="P319" s="5"/>
      <c r="Q319" s="5" t="s">
        <v>307</v>
      </c>
      <c r="R319" s="5" t="s">
        <v>787</v>
      </c>
      <c r="S319" s="5" t="s">
        <v>301</v>
      </c>
      <c r="T319" s="5" t="s">
        <v>1509</v>
      </c>
      <c r="U319" s="5" t="s">
        <v>787</v>
      </c>
      <c r="V319" s="5" t="s">
        <v>787</v>
      </c>
      <c r="W319" s="5"/>
      <c r="X319" s="5" t="s">
        <v>1507</v>
      </c>
      <c r="Y319" s="5"/>
      <c r="Z319" s="5" t="s">
        <v>787</v>
      </c>
      <c r="AA319" s="5" t="s">
        <v>787</v>
      </c>
      <c r="AB319" s="5"/>
      <c r="AC319" s="5" t="s">
        <v>1519</v>
      </c>
      <c r="AD319" s="5"/>
      <c r="AE319" s="5">
        <v>0</v>
      </c>
      <c r="AF319" s="5" t="s">
        <v>1513</v>
      </c>
      <c r="AG319" s="5" t="s">
        <v>1513</v>
      </c>
      <c r="AH319" s="5"/>
      <c r="AI319" s="5"/>
    </row>
    <row r="320" spans="1:35" ht="27.75" customHeight="1">
      <c r="A320" s="5">
        <v>318</v>
      </c>
      <c r="B320" s="5" t="s">
        <v>297</v>
      </c>
      <c r="C320" s="5" t="s">
        <v>1526</v>
      </c>
      <c r="D320" s="5" t="s">
        <v>337</v>
      </c>
      <c r="E320" s="5">
        <v>35</v>
      </c>
      <c r="F320" s="5" t="s">
        <v>300</v>
      </c>
      <c r="G320" s="5" t="s">
        <v>301</v>
      </c>
      <c r="H320" s="5" t="s">
        <v>829</v>
      </c>
      <c r="I320" s="5" t="s">
        <v>829</v>
      </c>
      <c r="J320" s="5" t="s">
        <v>787</v>
      </c>
      <c r="K320" s="5" t="s">
        <v>1507</v>
      </c>
      <c r="L320" s="5" t="s">
        <v>787</v>
      </c>
      <c r="M320" s="5" t="s">
        <v>313</v>
      </c>
      <c r="N320" s="5"/>
      <c r="O320" s="5" t="s">
        <v>307</v>
      </c>
      <c r="P320" s="5"/>
      <c r="Q320" s="5" t="s">
        <v>307</v>
      </c>
      <c r="R320" s="5" t="s">
        <v>787</v>
      </c>
      <c r="S320" s="5" t="s">
        <v>301</v>
      </c>
      <c r="T320" s="5" t="s">
        <v>1509</v>
      </c>
      <c r="U320" s="5" t="s">
        <v>787</v>
      </c>
      <c r="V320" s="5" t="s">
        <v>787</v>
      </c>
      <c r="W320" s="5"/>
      <c r="X320" s="5" t="s">
        <v>1507</v>
      </c>
      <c r="Y320" s="5"/>
      <c r="Z320" s="5" t="s">
        <v>787</v>
      </c>
      <c r="AA320" s="5" t="s">
        <v>787</v>
      </c>
      <c r="AB320" s="5"/>
      <c r="AC320" s="5" t="s">
        <v>1517</v>
      </c>
      <c r="AD320" s="5"/>
      <c r="AE320" s="5">
        <v>0</v>
      </c>
      <c r="AF320" s="5" t="s">
        <v>1513</v>
      </c>
      <c r="AG320" s="5" t="s">
        <v>1513</v>
      </c>
      <c r="AH320" s="5"/>
      <c r="AI320" s="5"/>
    </row>
    <row r="321" spans="1:35" ht="27.75" customHeight="1">
      <c r="A321" s="5">
        <v>319</v>
      </c>
      <c r="B321" s="5" t="s">
        <v>297</v>
      </c>
      <c r="C321" s="5" t="s">
        <v>1524</v>
      </c>
      <c r="D321" s="5" t="s">
        <v>488</v>
      </c>
      <c r="E321" s="5">
        <v>52</v>
      </c>
      <c r="F321" s="5" t="s">
        <v>300</v>
      </c>
      <c r="G321" s="5" t="s">
        <v>301</v>
      </c>
      <c r="H321" s="5" t="s">
        <v>829</v>
      </c>
      <c r="I321" s="5" t="s">
        <v>829</v>
      </c>
      <c r="J321" s="5" t="s">
        <v>787</v>
      </c>
      <c r="K321" s="5" t="s">
        <v>1507</v>
      </c>
      <c r="L321" s="5" t="s">
        <v>787</v>
      </c>
      <c r="M321" s="5" t="s">
        <v>313</v>
      </c>
      <c r="N321" s="5"/>
      <c r="O321" s="5" t="s">
        <v>1507</v>
      </c>
      <c r="P321" s="5"/>
      <c r="Q321" s="5" t="s">
        <v>1518</v>
      </c>
      <c r="R321" s="5" t="s">
        <v>787</v>
      </c>
      <c r="S321" s="5" t="s">
        <v>301</v>
      </c>
      <c r="T321" s="5" t="s">
        <v>1509</v>
      </c>
      <c r="U321" s="5" t="s">
        <v>787</v>
      </c>
      <c r="V321" s="5" t="s">
        <v>787</v>
      </c>
      <c r="W321" s="5"/>
      <c r="X321" s="5" t="s">
        <v>1507</v>
      </c>
      <c r="Y321" s="5"/>
      <c r="Z321" s="5" t="s">
        <v>787</v>
      </c>
      <c r="AA321" s="5" t="s">
        <v>787</v>
      </c>
      <c r="AB321" s="5"/>
      <c r="AC321" s="5" t="s">
        <v>1512</v>
      </c>
      <c r="AD321" s="5"/>
      <c r="AE321" s="5">
        <v>0</v>
      </c>
      <c r="AF321" s="5" t="s">
        <v>1513</v>
      </c>
      <c r="AG321" s="5" t="s">
        <v>1513</v>
      </c>
      <c r="AH321" s="5"/>
      <c r="AI321" s="5"/>
    </row>
    <row r="322" spans="1:35" ht="27.75" customHeight="1">
      <c r="A322" s="5">
        <v>320</v>
      </c>
      <c r="B322" s="5" t="s">
        <v>297</v>
      </c>
      <c r="C322" s="5" t="s">
        <v>1527</v>
      </c>
      <c r="D322" s="5" t="s">
        <v>337</v>
      </c>
      <c r="E322" s="5">
        <v>44</v>
      </c>
      <c r="F322" s="5" t="s">
        <v>300</v>
      </c>
      <c r="G322" s="5" t="s">
        <v>301</v>
      </c>
      <c r="H322" s="5" t="s">
        <v>829</v>
      </c>
      <c r="I322" s="5" t="s">
        <v>829</v>
      </c>
      <c r="J322" s="5" t="s">
        <v>787</v>
      </c>
      <c r="K322" s="5" t="s">
        <v>1507</v>
      </c>
      <c r="L322" s="5" t="s">
        <v>787</v>
      </c>
      <c r="M322" s="5" t="s">
        <v>313</v>
      </c>
      <c r="N322" s="5"/>
      <c r="O322" s="5" t="s">
        <v>307</v>
      </c>
      <c r="P322" s="5"/>
      <c r="Q322" s="5" t="s">
        <v>307</v>
      </c>
      <c r="R322" s="5" t="s">
        <v>787</v>
      </c>
      <c r="S322" s="5" t="s">
        <v>301</v>
      </c>
      <c r="T322" s="5" t="s">
        <v>1509</v>
      </c>
      <c r="U322" s="5" t="s">
        <v>787</v>
      </c>
      <c r="V322" s="5" t="s">
        <v>787</v>
      </c>
      <c r="W322" s="5"/>
      <c r="X322" s="5" t="s">
        <v>1507</v>
      </c>
      <c r="Y322" s="5"/>
      <c r="Z322" s="5" t="s">
        <v>787</v>
      </c>
      <c r="AA322" s="5" t="s">
        <v>787</v>
      </c>
      <c r="AB322" s="5"/>
      <c r="AC322" s="5" t="s">
        <v>1517</v>
      </c>
      <c r="AD322" s="5" t="s">
        <v>301</v>
      </c>
      <c r="AE322" s="5">
        <v>0</v>
      </c>
      <c r="AF322" s="5" t="s">
        <v>1513</v>
      </c>
      <c r="AG322" s="5" t="s">
        <v>1513</v>
      </c>
      <c r="AH322" s="5"/>
      <c r="AI322" s="5"/>
    </row>
    <row r="323" spans="1:35" ht="27.75" customHeight="1">
      <c r="A323" s="5">
        <v>321</v>
      </c>
      <c r="B323" s="5" t="s">
        <v>297</v>
      </c>
      <c r="C323" s="5" t="s">
        <v>1527</v>
      </c>
      <c r="D323" s="5" t="s">
        <v>337</v>
      </c>
      <c r="E323" s="5">
        <v>39</v>
      </c>
      <c r="F323" s="5" t="s">
        <v>300</v>
      </c>
      <c r="G323" s="5" t="s">
        <v>301</v>
      </c>
      <c r="H323" s="5" t="s">
        <v>829</v>
      </c>
      <c r="I323" s="5" t="s">
        <v>829</v>
      </c>
      <c r="J323" s="5" t="s">
        <v>787</v>
      </c>
      <c r="K323" s="5" t="s">
        <v>1507</v>
      </c>
      <c r="L323" s="5" t="s">
        <v>787</v>
      </c>
      <c r="M323" s="5" t="s">
        <v>313</v>
      </c>
      <c r="N323" s="5"/>
      <c r="O323" s="5" t="s">
        <v>307</v>
      </c>
      <c r="P323" s="5"/>
      <c r="Q323" s="5" t="s">
        <v>307</v>
      </c>
      <c r="R323" s="5" t="s">
        <v>787</v>
      </c>
      <c r="S323" s="5" t="s">
        <v>301</v>
      </c>
      <c r="T323" s="5" t="s">
        <v>1509</v>
      </c>
      <c r="U323" s="5" t="s">
        <v>787</v>
      </c>
      <c r="V323" s="5" t="s">
        <v>787</v>
      </c>
      <c r="W323" s="5"/>
      <c r="X323" s="5" t="s">
        <v>1507</v>
      </c>
      <c r="Y323" s="5"/>
      <c r="Z323" s="5" t="s">
        <v>787</v>
      </c>
      <c r="AA323" s="5" t="s">
        <v>787</v>
      </c>
      <c r="AB323" s="5"/>
      <c r="AC323" s="5" t="s">
        <v>1519</v>
      </c>
      <c r="AD323" s="5" t="s">
        <v>301</v>
      </c>
      <c r="AE323" s="5">
        <v>0</v>
      </c>
      <c r="AF323" s="5" t="s">
        <v>1513</v>
      </c>
      <c r="AG323" s="5" t="s">
        <v>1513</v>
      </c>
      <c r="AH323" s="5"/>
      <c r="AI323" s="5"/>
    </row>
    <row r="324" spans="1:35" ht="27.75" customHeight="1">
      <c r="A324" s="5">
        <v>322</v>
      </c>
      <c r="B324" s="5" t="s">
        <v>297</v>
      </c>
      <c r="C324" s="5" t="s">
        <v>1527</v>
      </c>
      <c r="D324" s="5" t="s">
        <v>337</v>
      </c>
      <c r="E324" s="5">
        <v>34</v>
      </c>
      <c r="F324" s="5" t="s">
        <v>300</v>
      </c>
      <c r="G324" s="5" t="s">
        <v>301</v>
      </c>
      <c r="H324" s="5" t="s">
        <v>829</v>
      </c>
      <c r="I324" s="5" t="s">
        <v>829</v>
      </c>
      <c r="J324" s="5" t="s">
        <v>787</v>
      </c>
      <c r="K324" s="5" t="s">
        <v>1507</v>
      </c>
      <c r="L324" s="5" t="s">
        <v>787</v>
      </c>
      <c r="M324" s="5" t="s">
        <v>313</v>
      </c>
      <c r="N324" s="5"/>
      <c r="O324" s="5" t="s">
        <v>307</v>
      </c>
      <c r="P324" s="5"/>
      <c r="Q324" s="5" t="s">
        <v>307</v>
      </c>
      <c r="R324" s="5" t="s">
        <v>787</v>
      </c>
      <c r="S324" s="5" t="s">
        <v>301</v>
      </c>
      <c r="T324" s="5" t="s">
        <v>1509</v>
      </c>
      <c r="U324" s="5" t="s">
        <v>787</v>
      </c>
      <c r="V324" s="5" t="s">
        <v>787</v>
      </c>
      <c r="W324" s="5"/>
      <c r="X324" s="5" t="s">
        <v>1507</v>
      </c>
      <c r="Y324" s="5"/>
      <c r="Z324" s="5" t="s">
        <v>787</v>
      </c>
      <c r="AA324" s="5" t="s">
        <v>787</v>
      </c>
      <c r="AB324" s="5"/>
      <c r="AC324" s="5" t="s">
        <v>1525</v>
      </c>
      <c r="AD324" s="5" t="s">
        <v>301</v>
      </c>
      <c r="AE324" s="5">
        <v>0</v>
      </c>
      <c r="AF324" s="5" t="s">
        <v>1513</v>
      </c>
      <c r="AG324" s="5" t="s">
        <v>1513</v>
      </c>
      <c r="AH324" s="5"/>
      <c r="AI324" s="5"/>
    </row>
    <row r="325" spans="1:35" ht="27.75" customHeight="1">
      <c r="A325" s="5">
        <v>323</v>
      </c>
      <c r="B325" s="5" t="s">
        <v>297</v>
      </c>
      <c r="C325" s="5" t="s">
        <v>1528</v>
      </c>
      <c r="D325" s="5" t="s">
        <v>337</v>
      </c>
      <c r="E325" s="5">
        <v>31</v>
      </c>
      <c r="F325" s="5" t="s">
        <v>300</v>
      </c>
      <c r="G325" s="5" t="s">
        <v>301</v>
      </c>
      <c r="H325" s="5" t="s">
        <v>829</v>
      </c>
      <c r="I325" s="5" t="s">
        <v>829</v>
      </c>
      <c r="J325" s="5" t="s">
        <v>787</v>
      </c>
      <c r="K325" s="5" t="s">
        <v>1507</v>
      </c>
      <c r="L325" s="5" t="s">
        <v>787</v>
      </c>
      <c r="M325" s="5" t="s">
        <v>306</v>
      </c>
      <c r="N325" s="5"/>
      <c r="O325" s="5" t="s">
        <v>1529</v>
      </c>
      <c r="P325" s="5"/>
      <c r="Q325" s="5" t="s">
        <v>307</v>
      </c>
      <c r="R325" s="5" t="s">
        <v>787</v>
      </c>
      <c r="S325" s="5" t="s">
        <v>301</v>
      </c>
      <c r="T325" s="5" t="s">
        <v>1509</v>
      </c>
      <c r="U325" s="5" t="s">
        <v>787</v>
      </c>
      <c r="V325" s="5" t="s">
        <v>787</v>
      </c>
      <c r="W325" s="5"/>
      <c r="X325" s="5" t="s">
        <v>1507</v>
      </c>
      <c r="Y325" s="5"/>
      <c r="Z325" s="5" t="s">
        <v>787</v>
      </c>
      <c r="AA325" s="5" t="s">
        <v>787</v>
      </c>
      <c r="AB325" s="5"/>
      <c r="AC325" s="5" t="s">
        <v>1520</v>
      </c>
      <c r="AD325" s="5"/>
      <c r="AE325" s="5">
        <v>0</v>
      </c>
      <c r="AF325" s="5" t="s">
        <v>1513</v>
      </c>
      <c r="AG325" s="5" t="s">
        <v>1513</v>
      </c>
      <c r="AH325" s="5"/>
      <c r="AI325" s="5"/>
    </row>
    <row r="326" spans="1:35" ht="27.75" customHeight="1">
      <c r="A326" s="5">
        <v>324</v>
      </c>
      <c r="B326" s="5" t="s">
        <v>297</v>
      </c>
      <c r="C326" s="5" t="s">
        <v>1528</v>
      </c>
      <c r="D326" s="5" t="s">
        <v>337</v>
      </c>
      <c r="E326" s="5">
        <v>18</v>
      </c>
      <c r="F326" s="5" t="s">
        <v>300</v>
      </c>
      <c r="G326" s="5" t="s">
        <v>301</v>
      </c>
      <c r="H326" s="5" t="s">
        <v>829</v>
      </c>
      <c r="I326" s="5" t="s">
        <v>829</v>
      </c>
      <c r="J326" s="5" t="s">
        <v>787</v>
      </c>
      <c r="K326" s="5" t="s">
        <v>1507</v>
      </c>
      <c r="L326" s="5" t="s">
        <v>787</v>
      </c>
      <c r="M326" s="5" t="s">
        <v>306</v>
      </c>
      <c r="N326" s="5"/>
      <c r="O326" s="5" t="s">
        <v>1529</v>
      </c>
      <c r="P326" s="5"/>
      <c r="Q326" s="5" t="s">
        <v>307</v>
      </c>
      <c r="R326" s="5" t="s">
        <v>787</v>
      </c>
      <c r="S326" s="5" t="s">
        <v>301</v>
      </c>
      <c r="T326" s="5" t="s">
        <v>1509</v>
      </c>
      <c r="U326" s="5" t="s">
        <v>787</v>
      </c>
      <c r="V326" s="5" t="s">
        <v>787</v>
      </c>
      <c r="W326" s="5"/>
      <c r="X326" s="5" t="s">
        <v>1507</v>
      </c>
      <c r="Y326" s="5"/>
      <c r="Z326" s="5" t="s">
        <v>787</v>
      </c>
      <c r="AA326" s="5" t="s">
        <v>787</v>
      </c>
      <c r="AB326" s="5"/>
      <c r="AC326" s="5" t="s">
        <v>1512</v>
      </c>
      <c r="AD326" s="5"/>
      <c r="AE326" s="5">
        <v>0</v>
      </c>
      <c r="AF326" s="5" t="s">
        <v>1513</v>
      </c>
      <c r="AG326" s="5" t="s">
        <v>1513</v>
      </c>
      <c r="AH326" s="5"/>
      <c r="AI326" s="5"/>
    </row>
    <row r="327" spans="1:35" ht="27.75" customHeight="1">
      <c r="A327" s="5">
        <v>325</v>
      </c>
      <c r="B327" s="5" t="s">
        <v>297</v>
      </c>
      <c r="C327" s="5" t="s">
        <v>1530</v>
      </c>
      <c r="D327" s="5" t="s">
        <v>337</v>
      </c>
      <c r="E327" s="5">
        <v>30</v>
      </c>
      <c r="F327" s="5" t="s">
        <v>300</v>
      </c>
      <c r="G327" s="5" t="s">
        <v>301</v>
      </c>
      <c r="H327" s="5" t="s">
        <v>829</v>
      </c>
      <c r="I327" s="5" t="s">
        <v>829</v>
      </c>
      <c r="J327" s="5" t="s">
        <v>787</v>
      </c>
      <c r="K327" s="5" t="s">
        <v>1507</v>
      </c>
      <c r="L327" s="5" t="s">
        <v>787</v>
      </c>
      <c r="M327" s="5" t="s">
        <v>306</v>
      </c>
      <c r="N327" s="5"/>
      <c r="O327" s="5" t="s">
        <v>307</v>
      </c>
      <c r="P327" s="5"/>
      <c r="Q327" s="5" t="s">
        <v>307</v>
      </c>
      <c r="R327" s="5" t="s">
        <v>787</v>
      </c>
      <c r="S327" s="5" t="s">
        <v>301</v>
      </c>
      <c r="T327" s="5" t="s">
        <v>1509</v>
      </c>
      <c r="U327" s="5" t="s">
        <v>787</v>
      </c>
      <c r="V327" s="5" t="s">
        <v>787</v>
      </c>
      <c r="W327" s="5"/>
      <c r="X327" s="5" t="s">
        <v>1507</v>
      </c>
      <c r="Y327" s="5"/>
      <c r="Z327" s="5" t="s">
        <v>787</v>
      </c>
      <c r="AA327" s="5" t="s">
        <v>787</v>
      </c>
      <c r="AB327" s="5"/>
      <c r="AC327" s="5" t="s">
        <v>1512</v>
      </c>
      <c r="AD327" s="5"/>
      <c r="AE327" s="5">
        <v>0</v>
      </c>
      <c r="AF327" s="5" t="s">
        <v>1513</v>
      </c>
      <c r="AG327" s="5" t="s">
        <v>1513</v>
      </c>
      <c r="AH327" s="5"/>
      <c r="AI327" s="5"/>
    </row>
    <row r="328" spans="1:35" ht="27.75" customHeight="1">
      <c r="A328" s="5">
        <v>326</v>
      </c>
      <c r="B328" s="5" t="s">
        <v>297</v>
      </c>
      <c r="C328" s="5" t="s">
        <v>1530</v>
      </c>
      <c r="D328" s="5" t="s">
        <v>337</v>
      </c>
      <c r="E328" s="5">
        <v>40</v>
      </c>
      <c r="F328" s="5" t="s">
        <v>300</v>
      </c>
      <c r="G328" s="5" t="s">
        <v>301</v>
      </c>
      <c r="H328" s="5" t="s">
        <v>833</v>
      </c>
      <c r="I328" s="5" t="s">
        <v>829</v>
      </c>
      <c r="J328" s="5" t="s">
        <v>787</v>
      </c>
      <c r="K328" s="5" t="s">
        <v>1507</v>
      </c>
      <c r="L328" s="5" t="s">
        <v>787</v>
      </c>
      <c r="M328" s="5" t="s">
        <v>306</v>
      </c>
      <c r="N328" s="5"/>
      <c r="O328" s="5" t="s">
        <v>1529</v>
      </c>
      <c r="P328" s="5"/>
      <c r="Q328" s="5" t="s">
        <v>307</v>
      </c>
      <c r="R328" s="5" t="s">
        <v>787</v>
      </c>
      <c r="S328" s="5" t="s">
        <v>301</v>
      </c>
      <c r="T328" s="5" t="s">
        <v>1509</v>
      </c>
      <c r="U328" s="5" t="s">
        <v>787</v>
      </c>
      <c r="V328" s="5" t="s">
        <v>787</v>
      </c>
      <c r="W328" s="5"/>
      <c r="X328" s="5" t="s">
        <v>1507</v>
      </c>
      <c r="Y328" s="5"/>
      <c r="Z328" s="5" t="s">
        <v>787</v>
      </c>
      <c r="AA328" s="5" t="s">
        <v>787</v>
      </c>
      <c r="AB328" s="5"/>
      <c r="AC328" s="5" t="s">
        <v>1512</v>
      </c>
      <c r="AD328" s="5"/>
      <c r="AE328" s="5">
        <v>0</v>
      </c>
      <c r="AF328" s="5" t="s">
        <v>1513</v>
      </c>
      <c r="AG328" s="5" t="s">
        <v>1513</v>
      </c>
      <c r="AH328" s="5"/>
      <c r="AI328" s="5"/>
    </row>
    <row r="329" spans="1:35" ht="27.75" customHeight="1">
      <c r="A329" s="5">
        <v>327</v>
      </c>
      <c r="B329" s="5" t="s">
        <v>297</v>
      </c>
      <c r="C329" s="5" t="s">
        <v>1531</v>
      </c>
      <c r="D329" s="5" t="s">
        <v>337</v>
      </c>
      <c r="E329" s="5">
        <v>29</v>
      </c>
      <c r="F329" s="5" t="s">
        <v>300</v>
      </c>
      <c r="G329" s="5" t="s">
        <v>301</v>
      </c>
      <c r="H329" s="5" t="s">
        <v>833</v>
      </c>
      <c r="I329" s="5" t="s">
        <v>829</v>
      </c>
      <c r="J329" s="5" t="s">
        <v>787</v>
      </c>
      <c r="K329" s="5" t="s">
        <v>1507</v>
      </c>
      <c r="L329" s="5" t="s">
        <v>787</v>
      </c>
      <c r="M329" s="5" t="s">
        <v>313</v>
      </c>
      <c r="N329" s="5"/>
      <c r="O329" s="5" t="s">
        <v>307</v>
      </c>
      <c r="P329" s="5"/>
      <c r="Q329" s="5" t="s">
        <v>307</v>
      </c>
      <c r="R329" s="5" t="s">
        <v>787</v>
      </c>
      <c r="S329" s="5" t="s">
        <v>301</v>
      </c>
      <c r="T329" s="5" t="s">
        <v>1509</v>
      </c>
      <c r="U329" s="5" t="s">
        <v>787</v>
      </c>
      <c r="V329" s="5" t="s">
        <v>787</v>
      </c>
      <c r="W329" s="5"/>
      <c r="X329" s="5" t="s">
        <v>1507</v>
      </c>
      <c r="Y329" s="5"/>
      <c r="Z329" s="5" t="s">
        <v>787</v>
      </c>
      <c r="AA329" s="5" t="s">
        <v>787</v>
      </c>
      <c r="AB329" s="5"/>
      <c r="AC329" s="5" t="s">
        <v>1517</v>
      </c>
      <c r="AD329" s="5"/>
      <c r="AE329" s="5">
        <v>0</v>
      </c>
      <c r="AF329" s="5" t="s">
        <v>1513</v>
      </c>
      <c r="AG329" s="5" t="s">
        <v>1513</v>
      </c>
      <c r="AH329" s="5"/>
      <c r="AI329" s="5"/>
    </row>
    <row r="330" spans="1:35" ht="27.75" customHeight="1">
      <c r="A330" s="5">
        <v>328</v>
      </c>
      <c r="B330" s="5" t="s">
        <v>297</v>
      </c>
      <c r="C330" s="5" t="s">
        <v>1528</v>
      </c>
      <c r="D330" s="5" t="s">
        <v>337</v>
      </c>
      <c r="E330" s="5">
        <v>27</v>
      </c>
      <c r="F330" s="5" t="s">
        <v>300</v>
      </c>
      <c r="G330" s="5" t="s">
        <v>301</v>
      </c>
      <c r="H330" s="5" t="s">
        <v>833</v>
      </c>
      <c r="I330" s="5" t="s">
        <v>829</v>
      </c>
      <c r="J330" s="5" t="s">
        <v>787</v>
      </c>
      <c r="K330" s="5" t="s">
        <v>1507</v>
      </c>
      <c r="L330" s="5" t="s">
        <v>787</v>
      </c>
      <c r="M330" s="5" t="s">
        <v>306</v>
      </c>
      <c r="N330" s="5"/>
      <c r="O330" s="5" t="s">
        <v>1529</v>
      </c>
      <c r="P330" s="5"/>
      <c r="Q330" s="5" t="s">
        <v>307</v>
      </c>
      <c r="R330" s="5" t="s">
        <v>787</v>
      </c>
      <c r="S330" s="5" t="s">
        <v>301</v>
      </c>
      <c r="T330" s="5" t="s">
        <v>1509</v>
      </c>
      <c r="U330" s="5" t="s">
        <v>787</v>
      </c>
      <c r="V330" s="5" t="s">
        <v>787</v>
      </c>
      <c r="W330" s="5"/>
      <c r="X330" s="5" t="s">
        <v>1507</v>
      </c>
      <c r="Y330" s="5"/>
      <c r="Z330" s="5" t="s">
        <v>787</v>
      </c>
      <c r="AA330" s="5" t="s">
        <v>787</v>
      </c>
      <c r="AB330" s="5"/>
      <c r="AC330" s="5" t="s">
        <v>1519</v>
      </c>
      <c r="AD330" s="5"/>
      <c r="AE330" s="5">
        <v>0</v>
      </c>
      <c r="AF330" s="5" t="s">
        <v>1513</v>
      </c>
      <c r="AG330" s="5" t="s">
        <v>1513</v>
      </c>
      <c r="AH330" s="5"/>
      <c r="AI330" s="5"/>
    </row>
    <row r="331" spans="1:35" ht="27.75" customHeight="1">
      <c r="A331" s="5">
        <v>329</v>
      </c>
      <c r="B331" s="5" t="s">
        <v>297</v>
      </c>
      <c r="C331" s="5" t="s">
        <v>1530</v>
      </c>
      <c r="D331" s="5" t="s">
        <v>337</v>
      </c>
      <c r="E331" s="5">
        <v>49</v>
      </c>
      <c r="F331" s="5" t="s">
        <v>300</v>
      </c>
      <c r="G331" s="5" t="s">
        <v>301</v>
      </c>
      <c r="H331" s="5" t="s">
        <v>833</v>
      </c>
      <c r="I331" s="5" t="s">
        <v>829</v>
      </c>
      <c r="J331" s="5" t="s">
        <v>787</v>
      </c>
      <c r="K331" s="5" t="s">
        <v>1507</v>
      </c>
      <c r="L331" s="5" t="s">
        <v>787</v>
      </c>
      <c r="M331" s="5" t="s">
        <v>306</v>
      </c>
      <c r="N331" s="5"/>
      <c r="O331" s="5" t="s">
        <v>307</v>
      </c>
      <c r="P331" s="5"/>
      <c r="Q331" s="5" t="s">
        <v>307</v>
      </c>
      <c r="R331" s="5" t="s">
        <v>787</v>
      </c>
      <c r="S331" s="5" t="s">
        <v>301</v>
      </c>
      <c r="T331" s="5" t="s">
        <v>1509</v>
      </c>
      <c r="U331" s="5" t="s">
        <v>787</v>
      </c>
      <c r="V331" s="5" t="s">
        <v>787</v>
      </c>
      <c r="W331" s="5"/>
      <c r="X331" s="5" t="s">
        <v>1507</v>
      </c>
      <c r="Y331" s="5"/>
      <c r="Z331" s="5" t="s">
        <v>787</v>
      </c>
      <c r="AA331" s="5" t="s">
        <v>787</v>
      </c>
      <c r="AB331" s="5"/>
      <c r="AC331" s="5" t="s">
        <v>1512</v>
      </c>
      <c r="AD331" s="5"/>
      <c r="AE331" s="5">
        <v>0</v>
      </c>
      <c r="AF331" s="5" t="s">
        <v>1513</v>
      </c>
      <c r="AG331" s="5" t="s">
        <v>1513</v>
      </c>
      <c r="AH331" s="5"/>
      <c r="AI331" s="5"/>
    </row>
    <row r="332" spans="1:35" ht="27.75" customHeight="1">
      <c r="A332" s="5">
        <v>330</v>
      </c>
      <c r="B332" s="5" t="s">
        <v>297</v>
      </c>
      <c r="C332" s="5" t="s">
        <v>1523</v>
      </c>
      <c r="D332" s="5" t="s">
        <v>488</v>
      </c>
      <c r="E332" s="5">
        <v>34</v>
      </c>
      <c r="F332" s="5" t="s">
        <v>300</v>
      </c>
      <c r="G332" s="5" t="s">
        <v>301</v>
      </c>
      <c r="H332" s="5" t="s">
        <v>833</v>
      </c>
      <c r="I332" s="5" t="s">
        <v>829</v>
      </c>
      <c r="J332" s="5" t="s">
        <v>787</v>
      </c>
      <c r="K332" s="5" t="s">
        <v>1507</v>
      </c>
      <c r="L332" s="5" t="s">
        <v>787</v>
      </c>
      <c r="M332" s="5" t="s">
        <v>306</v>
      </c>
      <c r="N332" s="5"/>
      <c r="O332" s="5" t="s">
        <v>1518</v>
      </c>
      <c r="P332" s="5"/>
      <c r="Q332" s="5" t="s">
        <v>1518</v>
      </c>
      <c r="R332" s="5" t="s">
        <v>787</v>
      </c>
      <c r="S332" s="5" t="s">
        <v>301</v>
      </c>
      <c r="T332" s="5" t="s">
        <v>1509</v>
      </c>
      <c r="U332" s="5" t="s">
        <v>787</v>
      </c>
      <c r="V332" s="5" t="s">
        <v>787</v>
      </c>
      <c r="W332" s="5"/>
      <c r="X332" s="5" t="s">
        <v>1507</v>
      </c>
      <c r="Y332" s="5"/>
      <c r="Z332" s="5" t="s">
        <v>787</v>
      </c>
      <c r="AA332" s="5" t="s">
        <v>787</v>
      </c>
      <c r="AB332" s="5"/>
      <c r="AC332" s="5" t="s">
        <v>1517</v>
      </c>
      <c r="AD332" s="5"/>
      <c r="AE332" s="5">
        <v>0</v>
      </c>
      <c r="AF332" s="5" t="s">
        <v>1513</v>
      </c>
      <c r="AG332" s="5" t="s">
        <v>1513</v>
      </c>
      <c r="AH332" s="5"/>
      <c r="AI332" s="5"/>
    </row>
    <row r="333" spans="1:35" ht="27.75" customHeight="1">
      <c r="A333" s="5">
        <v>331</v>
      </c>
      <c r="B333" s="5" t="s">
        <v>297</v>
      </c>
      <c r="C333" s="5" t="s">
        <v>1523</v>
      </c>
      <c r="D333" s="5" t="s">
        <v>488</v>
      </c>
      <c r="E333" s="5">
        <v>25</v>
      </c>
      <c r="F333" s="5" t="s">
        <v>300</v>
      </c>
      <c r="G333" s="5" t="s">
        <v>301</v>
      </c>
      <c r="H333" s="5" t="s">
        <v>833</v>
      </c>
      <c r="I333" s="5" t="s">
        <v>829</v>
      </c>
      <c r="J333" s="5" t="s">
        <v>787</v>
      </c>
      <c r="K333" s="5" t="s">
        <v>1507</v>
      </c>
      <c r="L333" s="5" t="s">
        <v>787</v>
      </c>
      <c r="M333" s="5" t="s">
        <v>306</v>
      </c>
      <c r="N333" s="5"/>
      <c r="O333" s="5" t="s">
        <v>1507</v>
      </c>
      <c r="P333" s="5"/>
      <c r="Q333" s="5" t="s">
        <v>1518</v>
      </c>
      <c r="R333" s="5" t="s">
        <v>787</v>
      </c>
      <c r="S333" s="5" t="s">
        <v>301</v>
      </c>
      <c r="T333" s="5" t="s">
        <v>1509</v>
      </c>
      <c r="U333" s="5" t="s">
        <v>787</v>
      </c>
      <c r="V333" s="5" t="s">
        <v>787</v>
      </c>
      <c r="W333" s="5"/>
      <c r="X333" s="5" t="s">
        <v>1507</v>
      </c>
      <c r="Y333" s="5"/>
      <c r="Z333" s="5" t="s">
        <v>787</v>
      </c>
      <c r="AA333" s="5" t="s">
        <v>787</v>
      </c>
      <c r="AB333" s="5"/>
      <c r="AC333" s="5" t="s">
        <v>1519</v>
      </c>
      <c r="AD333" s="5"/>
      <c r="AE333" s="5">
        <v>0</v>
      </c>
      <c r="AF333" s="5" t="s">
        <v>1513</v>
      </c>
      <c r="AG333" s="5" t="s">
        <v>1513</v>
      </c>
      <c r="AH333" s="5"/>
      <c r="AI333" s="5"/>
    </row>
    <row r="334" spans="1:35" ht="27.75" customHeight="1">
      <c r="A334" s="5">
        <v>332</v>
      </c>
      <c r="B334" s="5" t="s">
        <v>297</v>
      </c>
      <c r="C334" s="5" t="s">
        <v>1530</v>
      </c>
      <c r="D334" s="5" t="s">
        <v>337</v>
      </c>
      <c r="E334" s="5">
        <v>48</v>
      </c>
      <c r="F334" s="5" t="s">
        <v>300</v>
      </c>
      <c r="G334" s="5" t="s">
        <v>301</v>
      </c>
      <c r="H334" s="5" t="s">
        <v>833</v>
      </c>
      <c r="I334" s="5" t="s">
        <v>829</v>
      </c>
      <c r="J334" s="5" t="s">
        <v>787</v>
      </c>
      <c r="K334" s="5" t="s">
        <v>1507</v>
      </c>
      <c r="L334" s="5" t="s">
        <v>787</v>
      </c>
      <c r="M334" s="5" t="s">
        <v>313</v>
      </c>
      <c r="N334" s="5"/>
      <c r="O334" s="5" t="s">
        <v>1529</v>
      </c>
      <c r="P334" s="5"/>
      <c r="Q334" s="5" t="s">
        <v>307</v>
      </c>
      <c r="R334" s="5" t="s">
        <v>787</v>
      </c>
      <c r="S334" s="5" t="s">
        <v>301</v>
      </c>
      <c r="T334" s="5" t="s">
        <v>1509</v>
      </c>
      <c r="U334" s="5" t="s">
        <v>787</v>
      </c>
      <c r="V334" s="5" t="s">
        <v>787</v>
      </c>
      <c r="W334" s="5"/>
      <c r="X334" s="5" t="s">
        <v>1507</v>
      </c>
      <c r="Y334" s="5"/>
      <c r="Z334" s="5" t="s">
        <v>787</v>
      </c>
      <c r="AA334" s="5" t="s">
        <v>787</v>
      </c>
      <c r="AB334" s="5"/>
      <c r="AC334" s="5" t="s">
        <v>1517</v>
      </c>
      <c r="AD334" s="5"/>
      <c r="AE334" s="5">
        <v>0</v>
      </c>
      <c r="AF334" s="5" t="s">
        <v>1513</v>
      </c>
      <c r="AG334" s="5" t="s">
        <v>1513</v>
      </c>
      <c r="AH334" s="5"/>
      <c r="AI334" s="5"/>
    </row>
    <row r="335" spans="1:35" ht="27.75" customHeight="1">
      <c r="A335" s="5">
        <v>333</v>
      </c>
      <c r="B335" s="5" t="s">
        <v>297</v>
      </c>
      <c r="C335" s="5" t="s">
        <v>1530</v>
      </c>
      <c r="D335" s="5" t="s">
        <v>337</v>
      </c>
      <c r="E335" s="5">
        <v>36</v>
      </c>
      <c r="F335" s="5" t="s">
        <v>300</v>
      </c>
      <c r="G335" s="5" t="s">
        <v>301</v>
      </c>
      <c r="H335" s="5" t="s">
        <v>833</v>
      </c>
      <c r="I335" s="5" t="s">
        <v>829</v>
      </c>
      <c r="J335" s="5" t="s">
        <v>787</v>
      </c>
      <c r="K335" s="5" t="s">
        <v>1507</v>
      </c>
      <c r="L335" s="5" t="s">
        <v>787</v>
      </c>
      <c r="M335" s="5" t="s">
        <v>313</v>
      </c>
      <c r="N335" s="5"/>
      <c r="O335" s="5" t="s">
        <v>1529</v>
      </c>
      <c r="P335" s="5"/>
      <c r="Q335" s="5" t="s">
        <v>307</v>
      </c>
      <c r="R335" s="5" t="s">
        <v>787</v>
      </c>
      <c r="S335" s="5" t="s">
        <v>301</v>
      </c>
      <c r="T335" s="5" t="s">
        <v>1509</v>
      </c>
      <c r="U335" s="5" t="s">
        <v>787</v>
      </c>
      <c r="V335" s="5" t="s">
        <v>787</v>
      </c>
      <c r="W335" s="5"/>
      <c r="X335" s="5" t="s">
        <v>1507</v>
      </c>
      <c r="Y335" s="5"/>
      <c r="Z335" s="5" t="s">
        <v>787</v>
      </c>
      <c r="AA335" s="5" t="s">
        <v>787</v>
      </c>
      <c r="AB335" s="5"/>
      <c r="AC335" s="5" t="s">
        <v>1519</v>
      </c>
      <c r="AD335" s="5"/>
      <c r="AE335" s="5">
        <v>0</v>
      </c>
      <c r="AF335" s="5" t="s">
        <v>1513</v>
      </c>
      <c r="AG335" s="5" t="s">
        <v>1513</v>
      </c>
      <c r="AH335" s="5"/>
      <c r="AI335" s="5"/>
    </row>
    <row r="336" spans="1:35" ht="27.75" customHeight="1">
      <c r="A336" s="5">
        <v>334</v>
      </c>
      <c r="B336" s="5" t="s">
        <v>297</v>
      </c>
      <c r="C336" s="5" t="s">
        <v>1530</v>
      </c>
      <c r="D336" s="5" t="s">
        <v>337</v>
      </c>
      <c r="E336" s="5">
        <v>23</v>
      </c>
      <c r="F336" s="5" t="s">
        <v>300</v>
      </c>
      <c r="G336" s="5" t="s">
        <v>301</v>
      </c>
      <c r="H336" s="5" t="s">
        <v>833</v>
      </c>
      <c r="I336" s="5" t="s">
        <v>829</v>
      </c>
      <c r="J336" s="5" t="s">
        <v>787</v>
      </c>
      <c r="K336" s="5" t="s">
        <v>1507</v>
      </c>
      <c r="L336" s="5" t="s">
        <v>787</v>
      </c>
      <c r="M336" s="5" t="s">
        <v>313</v>
      </c>
      <c r="N336" s="5"/>
      <c r="O336" s="5" t="s">
        <v>307</v>
      </c>
      <c r="P336" s="5"/>
      <c r="Q336" s="5" t="s">
        <v>307</v>
      </c>
      <c r="R336" s="5" t="s">
        <v>787</v>
      </c>
      <c r="S336" s="5" t="s">
        <v>301</v>
      </c>
      <c r="T336" s="5" t="s">
        <v>1509</v>
      </c>
      <c r="U336" s="5" t="s">
        <v>787</v>
      </c>
      <c r="V336" s="5" t="s">
        <v>787</v>
      </c>
      <c r="W336" s="5"/>
      <c r="X336" s="5" t="s">
        <v>1507</v>
      </c>
      <c r="Y336" s="5"/>
      <c r="Z336" s="5" t="s">
        <v>787</v>
      </c>
      <c r="AA336" s="5" t="s">
        <v>787</v>
      </c>
      <c r="AB336" s="5"/>
      <c r="AC336" s="5" t="s">
        <v>1517</v>
      </c>
      <c r="AD336" s="5" t="s">
        <v>301</v>
      </c>
      <c r="AE336" s="5">
        <v>0</v>
      </c>
      <c r="AF336" s="5" t="s">
        <v>1513</v>
      </c>
      <c r="AG336" s="5" t="s">
        <v>1513</v>
      </c>
      <c r="AH336" s="5"/>
      <c r="AI336" s="5"/>
    </row>
    <row r="337" spans="1:35" ht="27.75" customHeight="1">
      <c r="A337" s="5">
        <v>335</v>
      </c>
      <c r="B337" s="5" t="s">
        <v>297</v>
      </c>
      <c r="C337" s="5" t="s">
        <v>1527</v>
      </c>
      <c r="D337" s="5" t="s">
        <v>337</v>
      </c>
      <c r="E337" s="5">
        <v>25</v>
      </c>
      <c r="F337" s="5" t="s">
        <v>300</v>
      </c>
      <c r="G337" s="5" t="s">
        <v>301</v>
      </c>
      <c r="H337" s="5" t="s">
        <v>833</v>
      </c>
      <c r="I337" s="5" t="s">
        <v>829</v>
      </c>
      <c r="J337" s="5" t="s">
        <v>787</v>
      </c>
      <c r="K337" s="5" t="s">
        <v>1507</v>
      </c>
      <c r="L337" s="5" t="s">
        <v>787</v>
      </c>
      <c r="M337" s="5" t="s">
        <v>313</v>
      </c>
      <c r="N337" s="5"/>
      <c r="O337" s="5" t="s">
        <v>307</v>
      </c>
      <c r="P337" s="5"/>
      <c r="Q337" s="5" t="s">
        <v>307</v>
      </c>
      <c r="R337" s="5" t="s">
        <v>787</v>
      </c>
      <c r="S337" s="5" t="s">
        <v>301</v>
      </c>
      <c r="T337" s="5" t="s">
        <v>1509</v>
      </c>
      <c r="U337" s="5" t="s">
        <v>787</v>
      </c>
      <c r="V337" s="5" t="s">
        <v>787</v>
      </c>
      <c r="W337" s="5"/>
      <c r="X337" s="5" t="s">
        <v>1507</v>
      </c>
      <c r="Y337" s="5"/>
      <c r="Z337" s="5" t="s">
        <v>787</v>
      </c>
      <c r="AA337" s="5" t="s">
        <v>787</v>
      </c>
      <c r="AB337" s="5"/>
      <c r="AC337" s="5" t="s">
        <v>1519</v>
      </c>
      <c r="AD337" s="5" t="s">
        <v>301</v>
      </c>
      <c r="AE337" s="5">
        <v>0</v>
      </c>
      <c r="AF337" s="5" t="s">
        <v>1513</v>
      </c>
      <c r="AG337" s="5" t="s">
        <v>1513</v>
      </c>
      <c r="AH337" s="5"/>
      <c r="AI337" s="5"/>
    </row>
    <row r="338" spans="1:35" ht="27.75" customHeight="1">
      <c r="A338" s="5">
        <v>336</v>
      </c>
      <c r="B338" s="5" t="s">
        <v>297</v>
      </c>
      <c r="C338" s="5" t="s">
        <v>1528</v>
      </c>
      <c r="D338" s="5" t="s">
        <v>337</v>
      </c>
      <c r="E338" s="5">
        <v>20</v>
      </c>
      <c r="F338" s="5" t="s">
        <v>300</v>
      </c>
      <c r="G338" s="5" t="s">
        <v>301</v>
      </c>
      <c r="H338" s="5" t="s">
        <v>833</v>
      </c>
      <c r="I338" s="5" t="s">
        <v>829</v>
      </c>
      <c r="J338" s="5" t="s">
        <v>787</v>
      </c>
      <c r="K338" s="5" t="s">
        <v>1507</v>
      </c>
      <c r="L338" s="5" t="s">
        <v>787</v>
      </c>
      <c r="M338" s="5" t="s">
        <v>306</v>
      </c>
      <c r="N338" s="5"/>
      <c r="O338" s="5" t="s">
        <v>307</v>
      </c>
      <c r="P338" s="5"/>
      <c r="Q338" s="5" t="s">
        <v>307</v>
      </c>
      <c r="R338" s="5" t="s">
        <v>787</v>
      </c>
      <c r="S338" s="5" t="s">
        <v>301</v>
      </c>
      <c r="T338" s="5" t="s">
        <v>1509</v>
      </c>
      <c r="U338" s="5" t="s">
        <v>787</v>
      </c>
      <c r="V338" s="5" t="s">
        <v>787</v>
      </c>
      <c r="W338" s="5"/>
      <c r="X338" s="5" t="s">
        <v>1507</v>
      </c>
      <c r="Y338" s="5"/>
      <c r="Z338" s="5" t="s">
        <v>787</v>
      </c>
      <c r="AA338" s="5" t="s">
        <v>787</v>
      </c>
      <c r="AB338" s="5"/>
      <c r="AC338" s="5" t="s">
        <v>1517</v>
      </c>
      <c r="AD338" s="5" t="s">
        <v>301</v>
      </c>
      <c r="AE338" s="5">
        <v>0</v>
      </c>
      <c r="AF338" s="5" t="s">
        <v>1513</v>
      </c>
      <c r="AG338" s="5" t="s">
        <v>1513</v>
      </c>
      <c r="AH338" s="5"/>
      <c r="AI338" s="5"/>
    </row>
    <row r="339" spans="1:35" ht="27.75" customHeight="1">
      <c r="A339" s="5">
        <v>337</v>
      </c>
      <c r="B339" s="5" t="s">
        <v>297</v>
      </c>
      <c r="C339" s="5" t="s">
        <v>1528</v>
      </c>
      <c r="D339" s="5" t="s">
        <v>337</v>
      </c>
      <c r="E339" s="5">
        <v>30</v>
      </c>
      <c r="F339" s="5" t="s">
        <v>300</v>
      </c>
      <c r="G339" s="5" t="s">
        <v>301</v>
      </c>
      <c r="H339" s="5" t="s">
        <v>833</v>
      </c>
      <c r="I339" s="5" t="s">
        <v>829</v>
      </c>
      <c r="J339" s="5" t="s">
        <v>787</v>
      </c>
      <c r="K339" s="5" t="s">
        <v>1507</v>
      </c>
      <c r="L339" s="5" t="s">
        <v>787</v>
      </c>
      <c r="M339" s="5" t="s">
        <v>306</v>
      </c>
      <c r="N339" s="5"/>
      <c r="O339" s="5" t="s">
        <v>307</v>
      </c>
      <c r="P339" s="5"/>
      <c r="Q339" s="5" t="s">
        <v>307</v>
      </c>
      <c r="R339" s="5" t="s">
        <v>787</v>
      </c>
      <c r="S339" s="5" t="s">
        <v>301</v>
      </c>
      <c r="T339" s="5" t="s">
        <v>1509</v>
      </c>
      <c r="U339" s="5" t="s">
        <v>787</v>
      </c>
      <c r="V339" s="5" t="s">
        <v>787</v>
      </c>
      <c r="W339" s="5"/>
      <c r="X339" s="5" t="s">
        <v>1507</v>
      </c>
      <c r="Y339" s="5"/>
      <c r="Z339" s="5" t="s">
        <v>787</v>
      </c>
      <c r="AA339" s="5" t="s">
        <v>787</v>
      </c>
      <c r="AB339" s="5"/>
      <c r="AC339" s="5" t="s">
        <v>1519</v>
      </c>
      <c r="AD339" s="5"/>
      <c r="AE339" s="5">
        <v>0</v>
      </c>
      <c r="AF339" s="5" t="s">
        <v>1513</v>
      </c>
      <c r="AG339" s="5" t="s">
        <v>1513</v>
      </c>
      <c r="AH339" s="5"/>
      <c r="AI339" s="5"/>
    </row>
    <row r="340" spans="1:35" ht="27.75" customHeight="1">
      <c r="A340" s="5">
        <v>338</v>
      </c>
      <c r="B340" s="5" t="s">
        <v>297</v>
      </c>
      <c r="C340" s="5" t="s">
        <v>1180</v>
      </c>
      <c r="D340" s="5" t="s">
        <v>299</v>
      </c>
      <c r="E340" s="5">
        <v>38</v>
      </c>
      <c r="F340" s="5" t="s">
        <v>300</v>
      </c>
      <c r="G340" s="5" t="s">
        <v>301</v>
      </c>
      <c r="H340" s="5" t="s">
        <v>833</v>
      </c>
      <c r="I340" s="5" t="s">
        <v>829</v>
      </c>
      <c r="J340" s="5" t="s">
        <v>787</v>
      </c>
      <c r="K340" s="5" t="s">
        <v>1507</v>
      </c>
      <c r="L340" s="5" t="s">
        <v>787</v>
      </c>
      <c r="M340" s="5" t="s">
        <v>306</v>
      </c>
      <c r="N340" s="5"/>
      <c r="O340" s="5" t="s">
        <v>1518</v>
      </c>
      <c r="P340" s="5"/>
      <c r="Q340" s="5" t="s">
        <v>301</v>
      </c>
      <c r="R340" s="5" t="s">
        <v>787</v>
      </c>
      <c r="S340" s="5" t="s">
        <v>301</v>
      </c>
      <c r="T340" s="5" t="s">
        <v>1509</v>
      </c>
      <c r="U340" s="5" t="s">
        <v>787</v>
      </c>
      <c r="V340" s="5" t="s">
        <v>787</v>
      </c>
      <c r="W340" s="5"/>
      <c r="X340" s="5" t="s">
        <v>1507</v>
      </c>
      <c r="Y340" s="5"/>
      <c r="Z340" s="5" t="s">
        <v>787</v>
      </c>
      <c r="AA340" s="5" t="s">
        <v>787</v>
      </c>
      <c r="AB340" s="5"/>
      <c r="AC340" s="5" t="s">
        <v>1512</v>
      </c>
      <c r="AD340" s="5"/>
      <c r="AE340" s="5">
        <v>0</v>
      </c>
      <c r="AF340" s="5" t="s">
        <v>1513</v>
      </c>
      <c r="AG340" s="5" t="s">
        <v>1513</v>
      </c>
      <c r="AH340" s="5"/>
      <c r="AI340" s="5"/>
    </row>
    <row r="341" spans="1:35" ht="27.75" customHeight="1">
      <c r="A341" s="5">
        <v>339</v>
      </c>
      <c r="B341" s="5" t="s">
        <v>297</v>
      </c>
      <c r="C341" s="5" t="s">
        <v>1532</v>
      </c>
      <c r="D341" s="5" t="s">
        <v>488</v>
      </c>
      <c r="E341" s="5">
        <v>45</v>
      </c>
      <c r="F341" s="5" t="s">
        <v>300</v>
      </c>
      <c r="G341" s="5" t="s">
        <v>301</v>
      </c>
      <c r="H341" s="5" t="s">
        <v>833</v>
      </c>
      <c r="I341" s="5" t="s">
        <v>829</v>
      </c>
      <c r="J341" s="5" t="s">
        <v>787</v>
      </c>
      <c r="K341" s="5" t="s">
        <v>1507</v>
      </c>
      <c r="L341" s="5" t="s">
        <v>787</v>
      </c>
      <c r="M341" s="5" t="s">
        <v>306</v>
      </c>
      <c r="N341" s="5"/>
      <c r="O341" s="5" t="s">
        <v>1507</v>
      </c>
      <c r="P341" s="5"/>
      <c r="Q341" s="5" t="s">
        <v>1518</v>
      </c>
      <c r="R341" s="5" t="s">
        <v>787</v>
      </c>
      <c r="S341" s="5" t="s">
        <v>301</v>
      </c>
      <c r="T341" s="5" t="s">
        <v>1509</v>
      </c>
      <c r="U341" s="5" t="s">
        <v>787</v>
      </c>
      <c r="V341" s="5" t="s">
        <v>787</v>
      </c>
      <c r="W341" s="5"/>
      <c r="X341" s="5" t="s">
        <v>1507</v>
      </c>
      <c r="Y341" s="5"/>
      <c r="Z341" s="5" t="s">
        <v>787</v>
      </c>
      <c r="AA341" s="5" t="s">
        <v>787</v>
      </c>
      <c r="AB341" s="5"/>
      <c r="AC341" s="5" t="s">
        <v>1512</v>
      </c>
      <c r="AD341" s="5"/>
      <c r="AE341" s="5">
        <v>0</v>
      </c>
      <c r="AF341" s="5" t="s">
        <v>1513</v>
      </c>
      <c r="AG341" s="5" t="s">
        <v>1513</v>
      </c>
      <c r="AH341" s="5"/>
      <c r="AI341" s="5"/>
    </row>
    <row r="342" spans="1:35" ht="27.75" customHeight="1">
      <c r="A342" s="5">
        <v>340</v>
      </c>
      <c r="B342" s="5" t="s">
        <v>297</v>
      </c>
      <c r="C342" s="5" t="s">
        <v>1527</v>
      </c>
      <c r="D342" s="5" t="s">
        <v>337</v>
      </c>
      <c r="E342" s="5">
        <v>36</v>
      </c>
      <c r="F342" s="5" t="s">
        <v>300</v>
      </c>
      <c r="G342" s="5" t="s">
        <v>301</v>
      </c>
      <c r="H342" s="5" t="s">
        <v>833</v>
      </c>
      <c r="I342" s="5" t="s">
        <v>829</v>
      </c>
      <c r="J342" s="5" t="s">
        <v>787</v>
      </c>
      <c r="K342" s="5" t="s">
        <v>1507</v>
      </c>
      <c r="L342" s="5" t="s">
        <v>787</v>
      </c>
      <c r="M342" s="5" t="s">
        <v>306</v>
      </c>
      <c r="N342" s="5"/>
      <c r="O342" s="5" t="s">
        <v>307</v>
      </c>
      <c r="P342" s="5"/>
      <c r="Q342" s="5" t="s">
        <v>307</v>
      </c>
      <c r="R342" s="5" t="s">
        <v>787</v>
      </c>
      <c r="S342" s="5" t="s">
        <v>301</v>
      </c>
      <c r="T342" s="5" t="s">
        <v>1509</v>
      </c>
      <c r="U342" s="5" t="s">
        <v>787</v>
      </c>
      <c r="V342" s="5" t="s">
        <v>787</v>
      </c>
      <c r="W342" s="5"/>
      <c r="X342" s="5" t="s">
        <v>1507</v>
      </c>
      <c r="Y342" s="5"/>
      <c r="Z342" s="5" t="s">
        <v>787</v>
      </c>
      <c r="AA342" s="5" t="s">
        <v>787</v>
      </c>
      <c r="AB342" s="5"/>
      <c r="AC342" s="5" t="s">
        <v>1517</v>
      </c>
      <c r="AD342" s="5"/>
      <c r="AE342" s="5">
        <v>0</v>
      </c>
      <c r="AF342" s="5" t="s">
        <v>1513</v>
      </c>
      <c r="AG342" s="5" t="s">
        <v>1513</v>
      </c>
      <c r="AH342" s="5"/>
      <c r="AI342" s="5"/>
    </row>
    <row r="343" spans="1:35" ht="27.75" customHeight="1">
      <c r="A343" s="5">
        <v>341</v>
      </c>
      <c r="B343" s="5" t="s">
        <v>297</v>
      </c>
      <c r="C343" s="5" t="s">
        <v>1528</v>
      </c>
      <c r="D343" s="5" t="s">
        <v>337</v>
      </c>
      <c r="E343" s="5">
        <v>49</v>
      </c>
      <c r="F343" s="5" t="s">
        <v>300</v>
      </c>
      <c r="G343" s="5" t="s">
        <v>301</v>
      </c>
      <c r="H343" s="5" t="s">
        <v>833</v>
      </c>
      <c r="I343" s="5" t="s">
        <v>829</v>
      </c>
      <c r="J343" s="5" t="s">
        <v>787</v>
      </c>
      <c r="K343" s="5" t="s">
        <v>1507</v>
      </c>
      <c r="L343" s="5" t="s">
        <v>787</v>
      </c>
      <c r="M343" s="5" t="s">
        <v>313</v>
      </c>
      <c r="N343" s="5"/>
      <c r="O343" s="5" t="s">
        <v>307</v>
      </c>
      <c r="P343" s="5"/>
      <c r="Q343" s="5" t="s">
        <v>307</v>
      </c>
      <c r="R343" s="5" t="s">
        <v>787</v>
      </c>
      <c r="S343" s="5" t="s">
        <v>301</v>
      </c>
      <c r="T343" s="5" t="s">
        <v>1509</v>
      </c>
      <c r="U343" s="5" t="s">
        <v>787</v>
      </c>
      <c r="V343" s="5" t="s">
        <v>787</v>
      </c>
      <c r="W343" s="5"/>
      <c r="X343" s="5" t="s">
        <v>1507</v>
      </c>
      <c r="Y343" s="5"/>
      <c r="Z343" s="5" t="s">
        <v>787</v>
      </c>
      <c r="AA343" s="5" t="s">
        <v>787</v>
      </c>
      <c r="AB343" s="5"/>
      <c r="AC343" s="5" t="s">
        <v>1519</v>
      </c>
      <c r="AD343" s="5"/>
      <c r="AE343" s="5">
        <v>0</v>
      </c>
      <c r="AF343" s="5" t="s">
        <v>1513</v>
      </c>
      <c r="AG343" s="5" t="s">
        <v>1513</v>
      </c>
      <c r="AH343" s="5"/>
      <c r="AI343" s="5"/>
    </row>
    <row r="344" spans="1:35" ht="27.75" customHeight="1">
      <c r="A344" s="5">
        <v>342</v>
      </c>
      <c r="B344" s="5" t="s">
        <v>297</v>
      </c>
      <c r="C344" s="5" t="s">
        <v>1528</v>
      </c>
      <c r="D344" s="5" t="s">
        <v>337</v>
      </c>
      <c r="E344" s="5">
        <v>46</v>
      </c>
      <c r="F344" s="5" t="s">
        <v>300</v>
      </c>
      <c r="G344" s="5" t="s">
        <v>301</v>
      </c>
      <c r="H344" s="5" t="s">
        <v>833</v>
      </c>
      <c r="I344" s="5" t="s">
        <v>829</v>
      </c>
      <c r="J344" s="5" t="s">
        <v>787</v>
      </c>
      <c r="K344" s="5" t="s">
        <v>1507</v>
      </c>
      <c r="L344" s="5" t="s">
        <v>787</v>
      </c>
      <c r="M344" s="5" t="s">
        <v>313</v>
      </c>
      <c r="N344" s="5"/>
      <c r="O344" s="5" t="s">
        <v>307</v>
      </c>
      <c r="P344" s="5"/>
      <c r="Q344" s="5" t="s">
        <v>307</v>
      </c>
      <c r="R344" s="5" t="s">
        <v>787</v>
      </c>
      <c r="S344" s="5" t="s">
        <v>301</v>
      </c>
      <c r="T344" s="5" t="s">
        <v>1509</v>
      </c>
      <c r="U344" s="5" t="s">
        <v>787</v>
      </c>
      <c r="V344" s="5" t="s">
        <v>787</v>
      </c>
      <c r="W344" s="5"/>
      <c r="X344" s="5" t="s">
        <v>1507</v>
      </c>
      <c r="Y344" s="5"/>
      <c r="Z344" s="5" t="s">
        <v>787</v>
      </c>
      <c r="AA344" s="5" t="s">
        <v>787</v>
      </c>
      <c r="AB344" s="5"/>
      <c r="AC344" s="5" t="s">
        <v>1517</v>
      </c>
      <c r="AD344" s="5" t="s">
        <v>301</v>
      </c>
      <c r="AE344" s="5">
        <v>0</v>
      </c>
      <c r="AF344" s="5" t="s">
        <v>1513</v>
      </c>
      <c r="AG344" s="5" t="s">
        <v>1513</v>
      </c>
      <c r="AH344" s="5"/>
      <c r="AI344" s="5"/>
    </row>
    <row r="345" spans="1:35" ht="27.75" customHeight="1">
      <c r="A345" s="5">
        <v>343</v>
      </c>
      <c r="B345" s="5" t="s">
        <v>297</v>
      </c>
      <c r="C345" s="5" t="s">
        <v>1528</v>
      </c>
      <c r="D345" s="5" t="s">
        <v>337</v>
      </c>
      <c r="E345" s="5">
        <v>40</v>
      </c>
      <c r="F345" s="5" t="s">
        <v>300</v>
      </c>
      <c r="G345" s="5" t="s">
        <v>301</v>
      </c>
      <c r="H345" s="5" t="s">
        <v>833</v>
      </c>
      <c r="I345" s="5" t="s">
        <v>829</v>
      </c>
      <c r="J345" s="5" t="s">
        <v>787</v>
      </c>
      <c r="K345" s="5" t="s">
        <v>1507</v>
      </c>
      <c r="L345" s="5" t="s">
        <v>787</v>
      </c>
      <c r="M345" s="5" t="s">
        <v>313</v>
      </c>
      <c r="N345" s="5"/>
      <c r="O345" s="5" t="s">
        <v>307</v>
      </c>
      <c r="P345" s="5"/>
      <c r="Q345" s="5" t="s">
        <v>307</v>
      </c>
      <c r="R345" s="5" t="s">
        <v>787</v>
      </c>
      <c r="S345" s="5" t="s">
        <v>301</v>
      </c>
      <c r="T345" s="5" t="s">
        <v>1509</v>
      </c>
      <c r="U345" s="5" t="s">
        <v>787</v>
      </c>
      <c r="V345" s="5" t="s">
        <v>787</v>
      </c>
      <c r="W345" s="5"/>
      <c r="X345" s="5" t="s">
        <v>1507</v>
      </c>
      <c r="Y345" s="5"/>
      <c r="Z345" s="5" t="s">
        <v>787</v>
      </c>
      <c r="AA345" s="5" t="s">
        <v>787</v>
      </c>
      <c r="AB345" s="5"/>
      <c r="AC345" s="5" t="s">
        <v>1519</v>
      </c>
      <c r="AD345" s="5" t="s">
        <v>301</v>
      </c>
      <c r="AE345" s="5">
        <v>0</v>
      </c>
      <c r="AF345" s="5" t="s">
        <v>1513</v>
      </c>
      <c r="AG345" s="5" t="s">
        <v>1513</v>
      </c>
      <c r="AH345" s="5"/>
      <c r="AI345" s="5"/>
    </row>
    <row r="346" spans="1:35" ht="27.75" customHeight="1">
      <c r="A346" s="5">
        <v>344</v>
      </c>
      <c r="B346" s="5" t="s">
        <v>297</v>
      </c>
      <c r="C346" s="5" t="s">
        <v>413</v>
      </c>
      <c r="D346" s="5" t="s">
        <v>337</v>
      </c>
      <c r="E346" s="5">
        <v>22</v>
      </c>
      <c r="F346" s="5" t="s">
        <v>300</v>
      </c>
      <c r="G346" s="5" t="s">
        <v>301</v>
      </c>
      <c r="H346" s="5" t="s">
        <v>833</v>
      </c>
      <c r="I346" s="5" t="s">
        <v>829</v>
      </c>
      <c r="J346" s="5" t="s">
        <v>787</v>
      </c>
      <c r="K346" s="5" t="s">
        <v>1507</v>
      </c>
      <c r="L346" s="5" t="s">
        <v>787</v>
      </c>
      <c r="M346" s="5" t="s">
        <v>313</v>
      </c>
      <c r="N346" s="5"/>
      <c r="O346" s="5" t="s">
        <v>307</v>
      </c>
      <c r="P346" s="5"/>
      <c r="Q346" s="5" t="s">
        <v>307</v>
      </c>
      <c r="R346" s="5" t="s">
        <v>787</v>
      </c>
      <c r="S346" s="5" t="s">
        <v>301</v>
      </c>
      <c r="T346" s="5" t="s">
        <v>1509</v>
      </c>
      <c r="U346" s="5" t="s">
        <v>787</v>
      </c>
      <c r="V346" s="5" t="s">
        <v>787</v>
      </c>
      <c r="W346" s="5"/>
      <c r="X346" s="5" t="s">
        <v>1507</v>
      </c>
      <c r="Y346" s="5"/>
      <c r="Z346" s="5" t="s">
        <v>787</v>
      </c>
      <c r="AA346" s="5" t="s">
        <v>787</v>
      </c>
      <c r="AB346" s="5"/>
      <c r="AC346" s="5" t="s">
        <v>1519</v>
      </c>
      <c r="AD346" s="5" t="s">
        <v>301</v>
      </c>
      <c r="AE346" s="5">
        <v>0</v>
      </c>
      <c r="AF346" s="5" t="s">
        <v>1513</v>
      </c>
      <c r="AG346" s="5" t="s">
        <v>1513</v>
      </c>
      <c r="AH346" s="5"/>
      <c r="AI346" s="5"/>
    </row>
    <row r="347" spans="1:35" ht="27.75" customHeight="1">
      <c r="A347" s="5">
        <v>345</v>
      </c>
      <c r="B347" s="5" t="s">
        <v>297</v>
      </c>
      <c r="C347" s="5" t="s">
        <v>1526</v>
      </c>
      <c r="D347" s="5" t="s">
        <v>337</v>
      </c>
      <c r="E347" s="5">
        <v>52</v>
      </c>
      <c r="F347" s="5" t="s">
        <v>300</v>
      </c>
      <c r="G347" s="5" t="s">
        <v>301</v>
      </c>
      <c r="H347" s="5" t="s">
        <v>833</v>
      </c>
      <c r="I347" s="5" t="s">
        <v>829</v>
      </c>
      <c r="J347" s="5" t="s">
        <v>787</v>
      </c>
      <c r="K347" s="5" t="s">
        <v>1507</v>
      </c>
      <c r="L347" s="5" t="s">
        <v>787</v>
      </c>
      <c r="M347" s="5" t="s">
        <v>313</v>
      </c>
      <c r="N347" s="5"/>
      <c r="O347" s="5" t="s">
        <v>307</v>
      </c>
      <c r="P347" s="5"/>
      <c r="Q347" s="5" t="s">
        <v>307</v>
      </c>
      <c r="R347" s="5" t="s">
        <v>787</v>
      </c>
      <c r="S347" s="5" t="s">
        <v>301</v>
      </c>
      <c r="T347" s="5" t="s">
        <v>1509</v>
      </c>
      <c r="U347" s="5" t="s">
        <v>787</v>
      </c>
      <c r="V347" s="5" t="s">
        <v>787</v>
      </c>
      <c r="W347" s="5"/>
      <c r="X347" s="5" t="s">
        <v>1507</v>
      </c>
      <c r="Y347" s="5"/>
      <c r="Z347" s="5" t="s">
        <v>787</v>
      </c>
      <c r="AA347" s="5" t="s">
        <v>787</v>
      </c>
      <c r="AB347" s="5"/>
      <c r="AC347" s="5" t="s">
        <v>1512</v>
      </c>
      <c r="AD347" s="5" t="s">
        <v>301</v>
      </c>
      <c r="AE347" s="5">
        <v>0</v>
      </c>
      <c r="AF347" s="5" t="s">
        <v>1513</v>
      </c>
      <c r="AG347" s="5" t="s">
        <v>1513</v>
      </c>
      <c r="AH347" s="5"/>
      <c r="AI347" s="5"/>
    </row>
    <row r="348" spans="1:35" ht="27.75" customHeight="1">
      <c r="A348" s="5">
        <v>346</v>
      </c>
      <c r="B348" s="5" t="s">
        <v>297</v>
      </c>
      <c r="C348" s="5" t="s">
        <v>1526</v>
      </c>
      <c r="D348" s="5" t="s">
        <v>337</v>
      </c>
      <c r="E348" s="5">
        <v>33</v>
      </c>
      <c r="F348" s="5" t="s">
        <v>300</v>
      </c>
      <c r="G348" s="5" t="s">
        <v>301</v>
      </c>
      <c r="H348" s="5" t="s">
        <v>833</v>
      </c>
      <c r="I348" s="5" t="s">
        <v>829</v>
      </c>
      <c r="J348" s="5" t="s">
        <v>787</v>
      </c>
      <c r="K348" s="5" t="s">
        <v>1507</v>
      </c>
      <c r="L348" s="5" t="s">
        <v>787</v>
      </c>
      <c r="M348" s="5" t="s">
        <v>313</v>
      </c>
      <c r="N348" s="5"/>
      <c r="O348" s="5" t="s">
        <v>307</v>
      </c>
      <c r="P348" s="5"/>
      <c r="Q348" s="5" t="s">
        <v>307</v>
      </c>
      <c r="R348" s="5" t="s">
        <v>787</v>
      </c>
      <c r="S348" s="5" t="s">
        <v>301</v>
      </c>
      <c r="T348" s="5" t="s">
        <v>1509</v>
      </c>
      <c r="U348" s="5" t="s">
        <v>787</v>
      </c>
      <c r="V348" s="5" t="s">
        <v>787</v>
      </c>
      <c r="W348" s="5"/>
      <c r="X348" s="5" t="s">
        <v>1507</v>
      </c>
      <c r="Y348" s="5"/>
      <c r="Z348" s="5" t="s">
        <v>787</v>
      </c>
      <c r="AA348" s="5" t="s">
        <v>787</v>
      </c>
      <c r="AB348" s="5"/>
      <c r="AC348" s="5" t="s">
        <v>1512</v>
      </c>
      <c r="AD348" s="5"/>
      <c r="AE348" s="5">
        <v>0</v>
      </c>
      <c r="AF348" s="5" t="s">
        <v>1513</v>
      </c>
      <c r="AG348" s="5" t="s">
        <v>1513</v>
      </c>
      <c r="AH348" s="5"/>
      <c r="AI348" s="5"/>
    </row>
    <row r="349" spans="1:35" ht="27.75" customHeight="1">
      <c r="A349" s="5">
        <v>347</v>
      </c>
      <c r="B349" s="5" t="s">
        <v>297</v>
      </c>
      <c r="C349" s="5" t="s">
        <v>1526</v>
      </c>
      <c r="D349" s="5" t="s">
        <v>337</v>
      </c>
      <c r="E349" s="5">
        <v>29</v>
      </c>
      <c r="F349" s="5" t="s">
        <v>513</v>
      </c>
      <c r="G349" s="5" t="s">
        <v>301</v>
      </c>
      <c r="H349" s="5" t="s">
        <v>833</v>
      </c>
      <c r="I349" s="5" t="s">
        <v>829</v>
      </c>
      <c r="J349" s="5" t="s">
        <v>787</v>
      </c>
      <c r="K349" s="5" t="s">
        <v>1507</v>
      </c>
      <c r="L349" s="5" t="s">
        <v>787</v>
      </c>
      <c r="M349" s="5" t="s">
        <v>313</v>
      </c>
      <c r="N349" s="5"/>
      <c r="O349" s="5" t="s">
        <v>307</v>
      </c>
      <c r="P349" s="5"/>
      <c r="Q349" s="5" t="s">
        <v>307</v>
      </c>
      <c r="R349" s="5" t="s">
        <v>787</v>
      </c>
      <c r="S349" s="5" t="s">
        <v>301</v>
      </c>
      <c r="T349" s="5" t="s">
        <v>1509</v>
      </c>
      <c r="U349" s="5" t="s">
        <v>787</v>
      </c>
      <c r="V349" s="5" t="s">
        <v>787</v>
      </c>
      <c r="W349" s="5"/>
      <c r="X349" s="5"/>
      <c r="Y349" s="5"/>
      <c r="Z349" s="5" t="s">
        <v>787</v>
      </c>
      <c r="AA349" s="5" t="s">
        <v>787</v>
      </c>
      <c r="AB349" s="5"/>
      <c r="AC349" s="5" t="s">
        <v>1517</v>
      </c>
      <c r="AD349" s="5"/>
      <c r="AE349" s="5">
        <v>0</v>
      </c>
      <c r="AF349" s="5" t="s">
        <v>1513</v>
      </c>
      <c r="AG349" s="5" t="s">
        <v>1513</v>
      </c>
      <c r="AH349" s="5"/>
      <c r="AI349" s="5"/>
    </row>
    <row r="350" spans="1:35" ht="15.75" customHeight="1"/>
    <row r="351" spans="1:35" ht="15.75" customHeight="1"/>
    <row r="352" spans="1:3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I349"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workbookViewId="0">
      <pane ySplit="5" topLeftCell="A6" activePane="bottomLeft" state="frozen"/>
      <selection pane="bottomLeft"/>
    </sheetView>
  </sheetViews>
  <sheetFormatPr defaultColWidth="14.44140625" defaultRowHeight="15" customHeight="1"/>
  <cols>
    <col min="1" max="1" width="9" style="2" customWidth="1"/>
    <col min="2" max="2" width="20" style="2" customWidth="1"/>
    <col min="3" max="3" width="42" style="2" customWidth="1"/>
    <col min="4" max="4" width="18" style="2" customWidth="1"/>
    <col min="5" max="5" width="9" style="2" customWidth="1"/>
    <col min="6" max="6" width="30" style="2" customWidth="1"/>
    <col min="7" max="7" width="22" style="2" customWidth="1"/>
    <col min="8" max="8" width="11" style="2" customWidth="1"/>
    <col min="9" max="11" width="9" style="2" customWidth="1"/>
    <col min="12" max="12" width="13" style="2" customWidth="1"/>
    <col min="13" max="14" width="9" style="2" customWidth="1"/>
    <col min="15" max="15" width="10" style="2" customWidth="1"/>
    <col min="16" max="16" width="42" style="2" customWidth="1"/>
    <col min="17" max="26" width="9" style="2" customWidth="1"/>
  </cols>
  <sheetData>
    <row r="1" spans="1:16" ht="31.5" customHeight="1">
      <c r="A1" s="7" t="s">
        <v>1533</v>
      </c>
      <c r="B1" s="7"/>
      <c r="C1" s="7"/>
      <c r="D1" s="7"/>
      <c r="E1" s="7"/>
      <c r="F1" s="7"/>
      <c r="G1" s="7"/>
      <c r="H1" s="7"/>
      <c r="I1" s="7"/>
      <c r="J1" s="7"/>
      <c r="K1" s="7"/>
      <c r="L1" s="7"/>
      <c r="M1" s="7"/>
      <c r="N1" s="7"/>
      <c r="O1" s="7"/>
      <c r="P1" s="7"/>
    </row>
    <row r="2" spans="1:16" ht="48" customHeight="1">
      <c r="A2" s="7" t="s">
        <v>1534</v>
      </c>
    </row>
    <row r="3" spans="1:16" ht="48" customHeight="1">
      <c r="A3" s="7" t="s">
        <v>1535</v>
      </c>
    </row>
    <row r="5" spans="1:16" ht="33.75" customHeight="1">
      <c r="A5" s="8" t="s">
        <v>1536</v>
      </c>
      <c r="B5" s="8" t="s">
        <v>1537</v>
      </c>
      <c r="C5" s="8" t="s">
        <v>1538</v>
      </c>
      <c r="D5" s="8" t="s">
        <v>42</v>
      </c>
      <c r="E5" s="8" t="s">
        <v>1539</v>
      </c>
      <c r="F5" s="8" t="s">
        <v>1540</v>
      </c>
      <c r="G5" s="8" t="s">
        <v>1541</v>
      </c>
      <c r="H5" s="8" t="s">
        <v>1542</v>
      </c>
      <c r="I5" s="8" t="s">
        <v>1543</v>
      </c>
      <c r="J5" s="8" t="s">
        <v>1544</v>
      </c>
      <c r="K5" s="8" t="s">
        <v>1545</v>
      </c>
      <c r="L5" s="8" t="s">
        <v>1546</v>
      </c>
      <c r="M5" s="8" t="s">
        <v>1547</v>
      </c>
      <c r="N5" s="8" t="s">
        <v>1548</v>
      </c>
      <c r="O5" s="8" t="s">
        <v>1549</v>
      </c>
      <c r="P5" s="8" t="s">
        <v>1550</v>
      </c>
    </row>
    <row r="6" spans="1:16" ht="27.75" customHeight="1">
      <c r="A6" s="5" t="s">
        <v>152</v>
      </c>
      <c r="B6" s="5" t="s">
        <v>154</v>
      </c>
      <c r="C6" s="5" t="s">
        <v>155</v>
      </c>
      <c r="D6" s="5" t="s">
        <v>1551</v>
      </c>
      <c r="E6" s="5">
        <v>1</v>
      </c>
      <c r="F6" s="5" t="s">
        <v>1552</v>
      </c>
      <c r="G6" s="5" t="s">
        <v>1553</v>
      </c>
      <c r="H6" s="5">
        <v>0.78301886792452802</v>
      </c>
      <c r="I6" s="9">
        <f t="shared" ref="I6:I12" si="0">ROUND(H6*106,0)</f>
        <v>83</v>
      </c>
      <c r="J6" s="5">
        <v>0.72</v>
      </c>
      <c r="K6" s="9">
        <f t="shared" ref="K6:K12" si="1">ROUND(J6*75,0)</f>
        <v>54</v>
      </c>
      <c r="L6" s="5">
        <v>0.82051282051282104</v>
      </c>
      <c r="M6" s="9">
        <f t="shared" ref="M6:M12" si="2">ROUND(L6*156,0)</f>
        <v>128</v>
      </c>
      <c r="N6" s="10">
        <f t="shared" ref="N6:N12" si="3">O6/337</f>
        <v>0.78635014836795247</v>
      </c>
      <c r="O6" s="9">
        <f t="shared" ref="O6:O12" si="4">I6+K6+M6</f>
        <v>265</v>
      </c>
      <c r="P6" s="5" t="s">
        <v>1554</v>
      </c>
    </row>
    <row r="7" spans="1:16" ht="15" customHeight="1">
      <c r="A7" s="5" t="s">
        <v>152</v>
      </c>
      <c r="B7" s="5"/>
      <c r="C7" s="5"/>
      <c r="D7" s="5"/>
      <c r="E7" s="5">
        <v>2</v>
      </c>
      <c r="F7" s="5" t="s">
        <v>1555</v>
      </c>
      <c r="G7" s="5" t="s">
        <v>1553</v>
      </c>
      <c r="H7" s="5">
        <v>0.160377358490566</v>
      </c>
      <c r="I7" s="9">
        <f t="shared" si="0"/>
        <v>17</v>
      </c>
      <c r="J7" s="5">
        <v>0.18666666666666701</v>
      </c>
      <c r="K7" s="9">
        <f t="shared" si="1"/>
        <v>14</v>
      </c>
      <c r="L7" s="5">
        <v>7.0512820512820498E-2</v>
      </c>
      <c r="M7" s="9">
        <f t="shared" si="2"/>
        <v>11</v>
      </c>
      <c r="N7" s="10">
        <f t="shared" si="3"/>
        <v>0.12462908011869436</v>
      </c>
      <c r="O7" s="9">
        <f t="shared" si="4"/>
        <v>42</v>
      </c>
      <c r="P7" s="5"/>
    </row>
    <row r="8" spans="1:16" ht="27.75" customHeight="1">
      <c r="A8" s="5" t="s">
        <v>152</v>
      </c>
      <c r="B8" s="5"/>
      <c r="C8" s="5"/>
      <c r="D8" s="5"/>
      <c r="E8" s="5">
        <v>3</v>
      </c>
      <c r="F8" s="5" t="s">
        <v>1556</v>
      </c>
      <c r="G8" s="5" t="s">
        <v>1557</v>
      </c>
      <c r="H8" s="5">
        <v>5.6603773584905703E-2</v>
      </c>
      <c r="I8" s="9">
        <f t="shared" si="0"/>
        <v>6</v>
      </c>
      <c r="J8" s="5">
        <v>0.04</v>
      </c>
      <c r="K8" s="9">
        <f t="shared" si="1"/>
        <v>3</v>
      </c>
      <c r="L8" s="5">
        <v>6.41025641025641E-3</v>
      </c>
      <c r="M8" s="9">
        <f t="shared" si="2"/>
        <v>1</v>
      </c>
      <c r="N8" s="10">
        <f t="shared" si="3"/>
        <v>2.967359050445104E-2</v>
      </c>
      <c r="O8" s="9">
        <f t="shared" si="4"/>
        <v>10</v>
      </c>
      <c r="P8" s="5"/>
    </row>
    <row r="9" spans="1:16" ht="15" customHeight="1">
      <c r="A9" s="5" t="s">
        <v>152</v>
      </c>
      <c r="B9" s="5"/>
      <c r="C9" s="5"/>
      <c r="D9" s="5"/>
      <c r="E9" s="5">
        <v>4</v>
      </c>
      <c r="F9" s="5" t="s">
        <v>1558</v>
      </c>
      <c r="G9" s="5" t="s">
        <v>1553</v>
      </c>
      <c r="H9" s="5">
        <v>0</v>
      </c>
      <c r="I9" s="9">
        <f t="shared" si="0"/>
        <v>0</v>
      </c>
      <c r="J9" s="5">
        <v>0</v>
      </c>
      <c r="K9" s="9">
        <f t="shared" si="1"/>
        <v>0</v>
      </c>
      <c r="L9" s="5">
        <v>3.2051282051282097E-2</v>
      </c>
      <c r="M9" s="9">
        <f t="shared" si="2"/>
        <v>5</v>
      </c>
      <c r="N9" s="10">
        <f t="shared" si="3"/>
        <v>1.483679525222552E-2</v>
      </c>
      <c r="O9" s="9">
        <f t="shared" si="4"/>
        <v>5</v>
      </c>
      <c r="P9" s="5"/>
    </row>
    <row r="10" spans="1:16" ht="15" customHeight="1">
      <c r="A10" s="5" t="s">
        <v>152</v>
      </c>
      <c r="B10" s="5"/>
      <c r="C10" s="5"/>
      <c r="D10" s="5"/>
      <c r="E10" s="5">
        <v>5</v>
      </c>
      <c r="F10" s="5" t="s">
        <v>1559</v>
      </c>
      <c r="G10" s="5" t="s">
        <v>1553</v>
      </c>
      <c r="H10" s="5">
        <v>0</v>
      </c>
      <c r="I10" s="9">
        <f t="shared" si="0"/>
        <v>0</v>
      </c>
      <c r="J10" s="5">
        <v>5.3333333333333302E-2</v>
      </c>
      <c r="K10" s="9">
        <f t="shared" si="1"/>
        <v>4</v>
      </c>
      <c r="L10" s="5">
        <v>7.0512820512820498E-2</v>
      </c>
      <c r="M10" s="9">
        <f t="shared" si="2"/>
        <v>11</v>
      </c>
      <c r="N10" s="10">
        <f t="shared" si="3"/>
        <v>4.4510385756676561E-2</v>
      </c>
      <c r="O10" s="9">
        <f t="shared" si="4"/>
        <v>15</v>
      </c>
      <c r="P10" s="5"/>
    </row>
    <row r="11" spans="1:16" ht="27.75" customHeight="1">
      <c r="A11" s="5" t="s">
        <v>159</v>
      </c>
      <c r="B11" s="5" t="s">
        <v>154</v>
      </c>
      <c r="C11" s="5" t="s">
        <v>160</v>
      </c>
      <c r="D11" s="5" t="s">
        <v>1551</v>
      </c>
      <c r="E11" s="5">
        <v>1</v>
      </c>
      <c r="F11" s="5" t="s">
        <v>1560</v>
      </c>
      <c r="G11" s="5" t="s">
        <v>1561</v>
      </c>
      <c r="H11" s="5">
        <v>0.93396226415094297</v>
      </c>
      <c r="I11" s="9">
        <f t="shared" si="0"/>
        <v>99</v>
      </c>
      <c r="J11" s="5">
        <v>0.86666666666666703</v>
      </c>
      <c r="K11" s="9">
        <f t="shared" si="1"/>
        <v>65</v>
      </c>
      <c r="L11" s="5">
        <v>0.71794871794871795</v>
      </c>
      <c r="M11" s="9">
        <f t="shared" si="2"/>
        <v>112</v>
      </c>
      <c r="N11" s="10">
        <f t="shared" si="3"/>
        <v>0.81899109792284863</v>
      </c>
      <c r="O11" s="9">
        <f t="shared" si="4"/>
        <v>276</v>
      </c>
      <c r="P11" s="5" t="s">
        <v>1562</v>
      </c>
    </row>
    <row r="12" spans="1:16" ht="15" customHeight="1">
      <c r="A12" s="5" t="s">
        <v>159</v>
      </c>
      <c r="B12" s="5"/>
      <c r="C12" s="5"/>
      <c r="D12" s="5"/>
      <c r="E12" s="5">
        <v>2</v>
      </c>
      <c r="F12" s="5" t="s">
        <v>1563</v>
      </c>
      <c r="G12" s="5" t="s">
        <v>1564</v>
      </c>
      <c r="H12" s="5">
        <v>6.6037735849056603E-2</v>
      </c>
      <c r="I12" s="9">
        <f t="shared" si="0"/>
        <v>7</v>
      </c>
      <c r="J12" s="5">
        <v>0.133333333333333</v>
      </c>
      <c r="K12" s="9">
        <f t="shared" si="1"/>
        <v>10</v>
      </c>
      <c r="L12" s="5">
        <v>0.28205128205128199</v>
      </c>
      <c r="M12" s="9">
        <f t="shared" si="2"/>
        <v>44</v>
      </c>
      <c r="N12" s="10">
        <f t="shared" si="3"/>
        <v>0.18100890207715134</v>
      </c>
      <c r="O12" s="9">
        <f t="shared" si="4"/>
        <v>61</v>
      </c>
      <c r="P12" s="5"/>
    </row>
    <row r="13" spans="1:16" ht="15" customHeight="1">
      <c r="A13" s="5" t="s">
        <v>159</v>
      </c>
      <c r="B13" s="5"/>
      <c r="C13" s="5"/>
      <c r="D13" s="5"/>
      <c r="E13" s="5">
        <v>3</v>
      </c>
      <c r="F13" s="5" t="s">
        <v>1565</v>
      </c>
      <c r="G13" s="5" t="s">
        <v>1566</v>
      </c>
      <c r="H13" s="5"/>
      <c r="I13" s="5"/>
      <c r="J13" s="5"/>
      <c r="K13" s="5"/>
      <c r="L13" s="5"/>
      <c r="M13" s="5"/>
      <c r="N13" s="5"/>
      <c r="O13" s="5"/>
      <c r="P13" s="5"/>
    </row>
    <row r="14" spans="1:16" ht="54.75" customHeight="1">
      <c r="A14" s="5" t="s">
        <v>163</v>
      </c>
      <c r="B14" s="5" t="s">
        <v>154</v>
      </c>
      <c r="C14" s="5" t="s">
        <v>1567</v>
      </c>
      <c r="D14" s="5" t="s">
        <v>1568</v>
      </c>
      <c r="E14" s="5">
        <v>1</v>
      </c>
      <c r="F14" s="5" t="s">
        <v>1569</v>
      </c>
      <c r="G14" s="5" t="s">
        <v>1553</v>
      </c>
      <c r="H14" s="5">
        <v>9.4339622641509396E-3</v>
      </c>
      <c r="I14" s="9">
        <f t="shared" ref="I14:I43" si="5">ROUND(H14*106,0)</f>
        <v>1</v>
      </c>
      <c r="J14" s="5">
        <v>0</v>
      </c>
      <c r="K14" s="9">
        <f t="shared" ref="K14:K43" si="6">ROUND(J14*75,0)</f>
        <v>0</v>
      </c>
      <c r="L14" s="5">
        <v>0</v>
      </c>
      <c r="M14" s="9">
        <f t="shared" ref="M14:M43" si="7">ROUND(L14*156,0)</f>
        <v>0</v>
      </c>
      <c r="N14" s="10">
        <f t="shared" ref="N14:N43" si="8">O14/337</f>
        <v>2.967359050445104E-3</v>
      </c>
      <c r="O14" s="9">
        <f t="shared" ref="O14:O43" si="9">I14+K14+M14</f>
        <v>1</v>
      </c>
      <c r="P14" s="5" t="s">
        <v>1570</v>
      </c>
    </row>
    <row r="15" spans="1:16" ht="15" customHeight="1">
      <c r="A15" s="5" t="s">
        <v>163</v>
      </c>
      <c r="B15" s="5"/>
      <c r="C15" s="5"/>
      <c r="D15" s="5"/>
      <c r="E15" s="5">
        <v>2</v>
      </c>
      <c r="F15" s="5" t="s">
        <v>1571</v>
      </c>
      <c r="G15" s="5" t="s">
        <v>1553</v>
      </c>
      <c r="H15" s="5">
        <v>0.122641509433962</v>
      </c>
      <c r="I15" s="9">
        <f t="shared" si="5"/>
        <v>13</v>
      </c>
      <c r="J15" s="5">
        <v>5.3333333333333302E-2</v>
      </c>
      <c r="K15" s="9">
        <f t="shared" si="6"/>
        <v>4</v>
      </c>
      <c r="L15" s="5">
        <v>3.2051282051282097E-2</v>
      </c>
      <c r="M15" s="9">
        <f t="shared" si="7"/>
        <v>5</v>
      </c>
      <c r="N15" s="10">
        <f t="shared" si="8"/>
        <v>6.5281899109792291E-2</v>
      </c>
      <c r="O15" s="9">
        <f t="shared" si="9"/>
        <v>22</v>
      </c>
      <c r="P15" s="5"/>
    </row>
    <row r="16" spans="1:16" ht="15" customHeight="1">
      <c r="A16" s="5" t="s">
        <v>163</v>
      </c>
      <c r="B16" s="5"/>
      <c r="C16" s="5"/>
      <c r="D16" s="5"/>
      <c r="E16" s="5">
        <v>3</v>
      </c>
      <c r="F16" s="5" t="s">
        <v>1572</v>
      </c>
      <c r="G16" s="5" t="s">
        <v>1553</v>
      </c>
      <c r="H16" s="5">
        <v>0.48113207547169801</v>
      </c>
      <c r="I16" s="9">
        <f t="shared" si="5"/>
        <v>51</v>
      </c>
      <c r="J16" s="5">
        <v>0.34666666666666701</v>
      </c>
      <c r="K16" s="9">
        <f t="shared" si="6"/>
        <v>26</v>
      </c>
      <c r="L16" s="5">
        <v>0.147435897435897</v>
      </c>
      <c r="M16" s="9">
        <f t="shared" si="7"/>
        <v>23</v>
      </c>
      <c r="N16" s="10">
        <f t="shared" si="8"/>
        <v>0.29673590504451036</v>
      </c>
      <c r="O16" s="9">
        <f t="shared" si="9"/>
        <v>100</v>
      </c>
      <c r="P16" s="5"/>
    </row>
    <row r="17" spans="1:16" ht="15" customHeight="1">
      <c r="A17" s="5" t="s">
        <v>163</v>
      </c>
      <c r="B17" s="5"/>
      <c r="C17" s="5"/>
      <c r="D17" s="5"/>
      <c r="E17" s="5">
        <v>4</v>
      </c>
      <c r="F17" s="5" t="s">
        <v>1573</v>
      </c>
      <c r="G17" s="5" t="s">
        <v>1553</v>
      </c>
      <c r="H17" s="5">
        <v>0.38679245283018898</v>
      </c>
      <c r="I17" s="9">
        <f t="shared" si="5"/>
        <v>41</v>
      </c>
      <c r="J17" s="5">
        <v>0.6</v>
      </c>
      <c r="K17" s="9">
        <f t="shared" si="6"/>
        <v>45</v>
      </c>
      <c r="L17" s="5">
        <v>0.82051282051282104</v>
      </c>
      <c r="M17" s="9">
        <f t="shared" si="7"/>
        <v>128</v>
      </c>
      <c r="N17" s="10">
        <f t="shared" si="8"/>
        <v>0.63501483679525228</v>
      </c>
      <c r="O17" s="9">
        <f t="shared" si="9"/>
        <v>214</v>
      </c>
      <c r="P17" s="5"/>
    </row>
    <row r="18" spans="1:16" ht="41.25" customHeight="1">
      <c r="A18" s="5" t="s">
        <v>168</v>
      </c>
      <c r="B18" s="5" t="s">
        <v>154</v>
      </c>
      <c r="C18" s="5" t="s">
        <v>169</v>
      </c>
      <c r="D18" s="5" t="s">
        <v>1551</v>
      </c>
      <c r="E18" s="5">
        <v>1</v>
      </c>
      <c r="F18" s="5" t="s">
        <v>1574</v>
      </c>
      <c r="G18" s="5" t="s">
        <v>1553</v>
      </c>
      <c r="H18" s="5">
        <v>0.89622641509433998</v>
      </c>
      <c r="I18" s="9">
        <f t="shared" si="5"/>
        <v>95</v>
      </c>
      <c r="J18" s="5">
        <v>0.82666666666666699</v>
      </c>
      <c r="K18" s="9">
        <f t="shared" si="6"/>
        <v>62</v>
      </c>
      <c r="L18" s="5">
        <v>0.53205128205128205</v>
      </c>
      <c r="M18" s="9">
        <f t="shared" si="7"/>
        <v>83</v>
      </c>
      <c r="N18" s="10">
        <f t="shared" si="8"/>
        <v>0.71216617210682498</v>
      </c>
      <c r="O18" s="9">
        <f t="shared" si="9"/>
        <v>240</v>
      </c>
      <c r="P18" s="5" t="s">
        <v>1575</v>
      </c>
    </row>
    <row r="19" spans="1:16" ht="15" customHeight="1">
      <c r="A19" s="5" t="s">
        <v>168</v>
      </c>
      <c r="B19" s="5"/>
      <c r="C19" s="5"/>
      <c r="D19" s="5"/>
      <c r="E19" s="5">
        <v>2</v>
      </c>
      <c r="F19" s="5" t="s">
        <v>1576</v>
      </c>
      <c r="G19" s="5" t="s">
        <v>1553</v>
      </c>
      <c r="H19" s="5">
        <v>7.5471698113207503E-2</v>
      </c>
      <c r="I19" s="9">
        <f t="shared" si="5"/>
        <v>8</v>
      </c>
      <c r="J19" s="5">
        <v>0.10666666666666701</v>
      </c>
      <c r="K19" s="9">
        <f t="shared" si="6"/>
        <v>8</v>
      </c>
      <c r="L19" s="5">
        <v>0.21794871794871801</v>
      </c>
      <c r="M19" s="9">
        <f t="shared" si="7"/>
        <v>34</v>
      </c>
      <c r="N19" s="10">
        <f t="shared" si="8"/>
        <v>0.14836795252225518</v>
      </c>
      <c r="O19" s="9">
        <f t="shared" si="9"/>
        <v>50</v>
      </c>
      <c r="P19" s="5"/>
    </row>
    <row r="20" spans="1:16" ht="27.75" customHeight="1">
      <c r="A20" s="5" t="s">
        <v>168</v>
      </c>
      <c r="B20" s="5"/>
      <c r="C20" s="5"/>
      <c r="D20" s="5"/>
      <c r="E20" s="5">
        <v>3</v>
      </c>
      <c r="F20" s="5" t="s">
        <v>1577</v>
      </c>
      <c r="G20" s="5" t="s">
        <v>1578</v>
      </c>
      <c r="H20" s="5">
        <v>2.83018867924528E-2</v>
      </c>
      <c r="I20" s="9">
        <f t="shared" si="5"/>
        <v>3</v>
      </c>
      <c r="J20" s="5">
        <v>6.6666666666666693E-2</v>
      </c>
      <c r="K20" s="9">
        <f t="shared" si="6"/>
        <v>5</v>
      </c>
      <c r="L20" s="5">
        <v>0.25</v>
      </c>
      <c r="M20" s="9">
        <f t="shared" si="7"/>
        <v>39</v>
      </c>
      <c r="N20" s="10">
        <f t="shared" si="8"/>
        <v>0.1394658753709199</v>
      </c>
      <c r="O20" s="9">
        <f t="shared" si="9"/>
        <v>47</v>
      </c>
      <c r="P20" s="5"/>
    </row>
    <row r="21" spans="1:16" ht="27.75" customHeight="1">
      <c r="A21" s="5" t="s">
        <v>168</v>
      </c>
      <c r="B21" s="5"/>
      <c r="C21" s="5"/>
      <c r="D21" s="5"/>
      <c r="E21" s="5">
        <v>4</v>
      </c>
      <c r="F21" s="5" t="s">
        <v>1579</v>
      </c>
      <c r="G21" s="5" t="s">
        <v>1580</v>
      </c>
      <c r="H21" s="5">
        <v>0</v>
      </c>
      <c r="I21" s="9">
        <f t="shared" si="5"/>
        <v>0</v>
      </c>
      <c r="J21" s="5">
        <v>0</v>
      </c>
      <c r="K21" s="9">
        <f t="shared" si="6"/>
        <v>0</v>
      </c>
      <c r="L21" s="5">
        <v>0</v>
      </c>
      <c r="M21" s="9">
        <f t="shared" si="7"/>
        <v>0</v>
      </c>
      <c r="N21" s="10">
        <f t="shared" si="8"/>
        <v>0</v>
      </c>
      <c r="O21" s="9">
        <f t="shared" si="9"/>
        <v>0</v>
      </c>
      <c r="P21" s="5"/>
    </row>
    <row r="22" spans="1:16" ht="27.75" customHeight="1">
      <c r="A22" s="5" t="s">
        <v>171</v>
      </c>
      <c r="B22" s="5" t="s">
        <v>154</v>
      </c>
      <c r="C22" s="5" t="s">
        <v>172</v>
      </c>
      <c r="D22" s="5" t="s">
        <v>1551</v>
      </c>
      <c r="E22" s="5">
        <v>1</v>
      </c>
      <c r="F22" s="5" t="s">
        <v>1581</v>
      </c>
      <c r="G22" s="5" t="s">
        <v>1553</v>
      </c>
      <c r="H22" s="5">
        <v>3.77358490566038E-2</v>
      </c>
      <c r="I22" s="9">
        <f t="shared" si="5"/>
        <v>4</v>
      </c>
      <c r="J22" s="5">
        <v>2.66666666666667E-2</v>
      </c>
      <c r="K22" s="9">
        <f t="shared" si="6"/>
        <v>2</v>
      </c>
      <c r="L22" s="5">
        <v>0</v>
      </c>
      <c r="M22" s="9">
        <f t="shared" si="7"/>
        <v>0</v>
      </c>
      <c r="N22" s="10">
        <f t="shared" si="8"/>
        <v>1.7804154302670624E-2</v>
      </c>
      <c r="O22" s="9">
        <f t="shared" si="9"/>
        <v>6</v>
      </c>
      <c r="P22" s="5" t="s">
        <v>1582</v>
      </c>
    </row>
    <row r="23" spans="1:16" ht="27.75" customHeight="1">
      <c r="A23" s="5" t="s">
        <v>171</v>
      </c>
      <c r="B23" s="5"/>
      <c r="C23" s="5"/>
      <c r="D23" s="5"/>
      <c r="E23" s="5">
        <v>2</v>
      </c>
      <c r="F23" s="5" t="s">
        <v>1583</v>
      </c>
      <c r="G23" s="5" t="s">
        <v>1584</v>
      </c>
      <c r="H23" s="5">
        <v>0.43396226415094302</v>
      </c>
      <c r="I23" s="9">
        <f t="shared" si="5"/>
        <v>46</v>
      </c>
      <c r="J23" s="5">
        <v>0.18666666666666701</v>
      </c>
      <c r="K23" s="9">
        <f t="shared" si="6"/>
        <v>14</v>
      </c>
      <c r="L23" s="5">
        <v>3.2051282051282097E-2</v>
      </c>
      <c r="M23" s="9">
        <f t="shared" si="7"/>
        <v>5</v>
      </c>
      <c r="N23" s="10">
        <f t="shared" si="8"/>
        <v>0.19287833827893175</v>
      </c>
      <c r="O23" s="9">
        <f t="shared" si="9"/>
        <v>65</v>
      </c>
      <c r="P23" s="5"/>
    </row>
    <row r="24" spans="1:16" ht="15" customHeight="1">
      <c r="A24" s="5" t="s">
        <v>171</v>
      </c>
      <c r="B24" s="5"/>
      <c r="C24" s="5"/>
      <c r="D24" s="5"/>
      <c r="E24" s="5">
        <v>3</v>
      </c>
      <c r="F24" s="5" t="s">
        <v>1585</v>
      </c>
      <c r="G24" s="5" t="s">
        <v>1553</v>
      </c>
      <c r="H24" s="5">
        <v>0.41509433962264197</v>
      </c>
      <c r="I24" s="9">
        <f t="shared" si="5"/>
        <v>44</v>
      </c>
      <c r="J24" s="5">
        <v>0.53333333333333299</v>
      </c>
      <c r="K24" s="9">
        <f t="shared" si="6"/>
        <v>40</v>
      </c>
      <c r="L24" s="5">
        <v>0.19871794871794901</v>
      </c>
      <c r="M24" s="9">
        <f t="shared" si="7"/>
        <v>31</v>
      </c>
      <c r="N24" s="10">
        <f t="shared" si="8"/>
        <v>0.34124629080118696</v>
      </c>
      <c r="O24" s="9">
        <f t="shared" si="9"/>
        <v>115</v>
      </c>
      <c r="P24" s="5"/>
    </row>
    <row r="25" spans="1:16" ht="15" customHeight="1">
      <c r="A25" s="5" t="s">
        <v>171</v>
      </c>
      <c r="B25" s="5"/>
      <c r="C25" s="5"/>
      <c r="D25" s="5"/>
      <c r="E25" s="5">
        <v>4</v>
      </c>
      <c r="F25" s="5" t="s">
        <v>1586</v>
      </c>
      <c r="G25" s="5" t="s">
        <v>1553</v>
      </c>
      <c r="H25" s="5">
        <v>0.113207547169811</v>
      </c>
      <c r="I25" s="9">
        <f t="shared" si="5"/>
        <v>12</v>
      </c>
      <c r="J25" s="5">
        <v>0.25333333333333302</v>
      </c>
      <c r="K25" s="9">
        <f t="shared" si="6"/>
        <v>19</v>
      </c>
      <c r="L25" s="5">
        <v>0.76923076923076905</v>
      </c>
      <c r="M25" s="9">
        <f t="shared" si="7"/>
        <v>120</v>
      </c>
      <c r="N25" s="10">
        <f t="shared" si="8"/>
        <v>0.44807121661721067</v>
      </c>
      <c r="O25" s="9">
        <f t="shared" si="9"/>
        <v>151</v>
      </c>
      <c r="P25" s="5"/>
    </row>
    <row r="26" spans="1:16" ht="27.75" customHeight="1">
      <c r="A26" s="5" t="s">
        <v>175</v>
      </c>
      <c r="B26" s="5" t="s">
        <v>176</v>
      </c>
      <c r="C26" s="5" t="s">
        <v>177</v>
      </c>
      <c r="D26" s="5" t="s">
        <v>1551</v>
      </c>
      <c r="E26" s="5">
        <v>1</v>
      </c>
      <c r="F26" s="5" t="s">
        <v>1587</v>
      </c>
      <c r="G26" s="5" t="s">
        <v>1553</v>
      </c>
      <c r="H26" s="5">
        <v>0.83018867924528295</v>
      </c>
      <c r="I26" s="9">
        <f t="shared" si="5"/>
        <v>88</v>
      </c>
      <c r="J26" s="5">
        <v>0.88</v>
      </c>
      <c r="K26" s="9">
        <f t="shared" si="6"/>
        <v>66</v>
      </c>
      <c r="L26" s="5">
        <v>0.96153846153846201</v>
      </c>
      <c r="M26" s="9">
        <f t="shared" si="7"/>
        <v>150</v>
      </c>
      <c r="N26" s="10">
        <f t="shared" si="8"/>
        <v>0.90207715133531152</v>
      </c>
      <c r="O26" s="9">
        <f t="shared" si="9"/>
        <v>304</v>
      </c>
      <c r="P26" s="5" t="s">
        <v>1588</v>
      </c>
    </row>
    <row r="27" spans="1:16" ht="15" customHeight="1">
      <c r="A27" s="5" t="s">
        <v>175</v>
      </c>
      <c r="B27" s="5"/>
      <c r="C27" s="5"/>
      <c r="D27" s="5"/>
      <c r="E27" s="5">
        <v>2</v>
      </c>
      <c r="F27" s="5" t="s">
        <v>1589</v>
      </c>
      <c r="G27" s="5" t="s">
        <v>1553</v>
      </c>
      <c r="H27" s="5">
        <v>0.14150943396226401</v>
      </c>
      <c r="I27" s="9">
        <f t="shared" si="5"/>
        <v>15</v>
      </c>
      <c r="J27" s="5">
        <v>9.3333333333333296E-2</v>
      </c>
      <c r="K27" s="9">
        <f t="shared" si="6"/>
        <v>7</v>
      </c>
      <c r="L27" s="5">
        <v>3.8461538461538498E-2</v>
      </c>
      <c r="M27" s="9">
        <f t="shared" si="7"/>
        <v>6</v>
      </c>
      <c r="N27" s="10">
        <f t="shared" si="8"/>
        <v>8.3086053412462904E-2</v>
      </c>
      <c r="O27" s="9">
        <f t="shared" si="9"/>
        <v>28</v>
      </c>
      <c r="P27" s="5"/>
    </row>
    <row r="28" spans="1:16" ht="15" customHeight="1">
      <c r="A28" s="5" t="s">
        <v>175</v>
      </c>
      <c r="B28" s="5"/>
      <c r="C28" s="5"/>
      <c r="D28" s="5"/>
      <c r="E28" s="5">
        <v>3</v>
      </c>
      <c r="F28" s="5" t="s">
        <v>1590</v>
      </c>
      <c r="G28" s="5" t="s">
        <v>1553</v>
      </c>
      <c r="H28" s="5">
        <v>2.83018867924528E-2</v>
      </c>
      <c r="I28" s="9">
        <f t="shared" si="5"/>
        <v>3</v>
      </c>
      <c r="J28" s="5">
        <v>2.66666666666667E-2</v>
      </c>
      <c r="K28" s="9">
        <f t="shared" si="6"/>
        <v>2</v>
      </c>
      <c r="L28" s="5">
        <v>0</v>
      </c>
      <c r="M28" s="9">
        <f t="shared" si="7"/>
        <v>0</v>
      </c>
      <c r="N28" s="10">
        <f t="shared" si="8"/>
        <v>1.483679525222552E-2</v>
      </c>
      <c r="O28" s="9">
        <f t="shared" si="9"/>
        <v>5</v>
      </c>
      <c r="P28" s="5"/>
    </row>
    <row r="29" spans="1:16" ht="27.75" customHeight="1">
      <c r="A29" s="5" t="s">
        <v>181</v>
      </c>
      <c r="B29" s="5" t="s">
        <v>176</v>
      </c>
      <c r="C29" s="5" t="s">
        <v>182</v>
      </c>
      <c r="D29" s="5" t="s">
        <v>1551</v>
      </c>
      <c r="E29" s="5">
        <v>1</v>
      </c>
      <c r="F29" s="5" t="s">
        <v>1587</v>
      </c>
      <c r="G29" s="5" t="s">
        <v>1553</v>
      </c>
      <c r="H29" s="5">
        <v>4.71698113207547E-2</v>
      </c>
      <c r="I29" s="9">
        <f t="shared" si="5"/>
        <v>5</v>
      </c>
      <c r="J29" s="5">
        <v>2.66666666666667E-2</v>
      </c>
      <c r="K29" s="9">
        <f t="shared" si="6"/>
        <v>2</v>
      </c>
      <c r="L29" s="5">
        <v>6.41025641025641E-3</v>
      </c>
      <c r="M29" s="9">
        <f t="shared" si="7"/>
        <v>1</v>
      </c>
      <c r="N29" s="10">
        <f t="shared" si="8"/>
        <v>2.3738872403560832E-2</v>
      </c>
      <c r="O29" s="9">
        <f t="shared" si="9"/>
        <v>8</v>
      </c>
      <c r="P29" s="5"/>
    </row>
    <row r="30" spans="1:16" ht="15" customHeight="1">
      <c r="A30" s="5" t="s">
        <v>181</v>
      </c>
      <c r="B30" s="5"/>
      <c r="C30" s="5"/>
      <c r="D30" s="5"/>
      <c r="E30" s="5">
        <v>2</v>
      </c>
      <c r="F30" s="5" t="s">
        <v>1589</v>
      </c>
      <c r="G30" s="5" t="s">
        <v>1553</v>
      </c>
      <c r="H30" s="5">
        <v>0.50943396226415105</v>
      </c>
      <c r="I30" s="9">
        <f t="shared" si="5"/>
        <v>54</v>
      </c>
      <c r="J30" s="5">
        <v>0.66666666666666696</v>
      </c>
      <c r="K30" s="9">
        <f t="shared" si="6"/>
        <v>50</v>
      </c>
      <c r="L30" s="5">
        <v>0.262820512820513</v>
      </c>
      <c r="M30" s="9">
        <f t="shared" si="7"/>
        <v>41</v>
      </c>
      <c r="N30" s="10">
        <f t="shared" si="8"/>
        <v>0.43026706231454004</v>
      </c>
      <c r="O30" s="9">
        <f t="shared" si="9"/>
        <v>145</v>
      </c>
      <c r="P30" s="5"/>
    </row>
    <row r="31" spans="1:16" ht="15" customHeight="1">
      <c r="A31" s="5" t="s">
        <v>181</v>
      </c>
      <c r="B31" s="5"/>
      <c r="C31" s="5"/>
      <c r="D31" s="5"/>
      <c r="E31" s="5">
        <v>3</v>
      </c>
      <c r="F31" s="5" t="s">
        <v>1590</v>
      </c>
      <c r="G31" s="5" t="s">
        <v>1553</v>
      </c>
      <c r="H31" s="5">
        <v>0.44339622641509402</v>
      </c>
      <c r="I31" s="9">
        <f t="shared" si="5"/>
        <v>47</v>
      </c>
      <c r="J31" s="5">
        <v>0.30666666666666698</v>
      </c>
      <c r="K31" s="9">
        <f t="shared" si="6"/>
        <v>23</v>
      </c>
      <c r="L31" s="5">
        <v>0.73076923076923095</v>
      </c>
      <c r="M31" s="9">
        <f t="shared" si="7"/>
        <v>114</v>
      </c>
      <c r="N31" s="10">
        <f t="shared" si="8"/>
        <v>0.54599406528189909</v>
      </c>
      <c r="O31" s="9">
        <f t="shared" si="9"/>
        <v>184</v>
      </c>
      <c r="P31" s="5"/>
    </row>
    <row r="32" spans="1:16" ht="27.75" customHeight="1">
      <c r="A32" s="5" t="s">
        <v>184</v>
      </c>
      <c r="B32" s="5" t="s">
        <v>176</v>
      </c>
      <c r="C32" s="5" t="s">
        <v>185</v>
      </c>
      <c r="D32" s="5" t="s">
        <v>1551</v>
      </c>
      <c r="E32" s="5">
        <v>1</v>
      </c>
      <c r="F32" s="5" t="s">
        <v>1587</v>
      </c>
      <c r="G32" s="5" t="s">
        <v>1553</v>
      </c>
      <c r="H32" s="5">
        <v>2.83018867924528E-2</v>
      </c>
      <c r="I32" s="9">
        <f t="shared" si="5"/>
        <v>3</v>
      </c>
      <c r="J32" s="5">
        <v>2.66666666666667E-2</v>
      </c>
      <c r="K32" s="9">
        <f t="shared" si="6"/>
        <v>2</v>
      </c>
      <c r="L32" s="5">
        <v>0</v>
      </c>
      <c r="M32" s="9">
        <f t="shared" si="7"/>
        <v>0</v>
      </c>
      <c r="N32" s="10">
        <f t="shared" si="8"/>
        <v>1.483679525222552E-2</v>
      </c>
      <c r="O32" s="9">
        <f t="shared" si="9"/>
        <v>5</v>
      </c>
      <c r="P32" s="5"/>
    </row>
    <row r="33" spans="1:16" ht="15" customHeight="1">
      <c r="A33" s="5" t="s">
        <v>184</v>
      </c>
      <c r="B33" s="5"/>
      <c r="C33" s="5"/>
      <c r="D33" s="5"/>
      <c r="E33" s="5">
        <v>2</v>
      </c>
      <c r="F33" s="5" t="s">
        <v>1589</v>
      </c>
      <c r="G33" s="5" t="s">
        <v>1553</v>
      </c>
      <c r="H33" s="5">
        <v>0.18867924528301899</v>
      </c>
      <c r="I33" s="9">
        <f t="shared" si="5"/>
        <v>20</v>
      </c>
      <c r="J33" s="5">
        <v>0.146666666666667</v>
      </c>
      <c r="K33" s="9">
        <f t="shared" si="6"/>
        <v>11</v>
      </c>
      <c r="L33" s="5">
        <v>7.0512820512820498E-2</v>
      </c>
      <c r="M33" s="9">
        <f t="shared" si="7"/>
        <v>11</v>
      </c>
      <c r="N33" s="10">
        <f t="shared" si="8"/>
        <v>0.12462908011869436</v>
      </c>
      <c r="O33" s="9">
        <f t="shared" si="9"/>
        <v>42</v>
      </c>
      <c r="P33" s="5"/>
    </row>
    <row r="34" spans="1:16" ht="15" customHeight="1">
      <c r="A34" s="5" t="s">
        <v>184</v>
      </c>
      <c r="B34" s="5"/>
      <c r="C34" s="5"/>
      <c r="D34" s="5"/>
      <c r="E34" s="5">
        <v>3</v>
      </c>
      <c r="F34" s="5" t="s">
        <v>1590</v>
      </c>
      <c r="G34" s="5" t="s">
        <v>1553</v>
      </c>
      <c r="H34" s="5">
        <v>0.78301886792452802</v>
      </c>
      <c r="I34" s="9">
        <f t="shared" si="5"/>
        <v>83</v>
      </c>
      <c r="J34" s="5">
        <v>0.82666666666666699</v>
      </c>
      <c r="K34" s="9">
        <f t="shared" si="6"/>
        <v>62</v>
      </c>
      <c r="L34" s="5">
        <v>0.92948717948717996</v>
      </c>
      <c r="M34" s="9">
        <f t="shared" si="7"/>
        <v>145</v>
      </c>
      <c r="N34" s="10">
        <f t="shared" si="8"/>
        <v>0.86053412462908008</v>
      </c>
      <c r="O34" s="9">
        <f t="shared" si="9"/>
        <v>290</v>
      </c>
      <c r="P34" s="5"/>
    </row>
    <row r="35" spans="1:16" ht="27.75" customHeight="1">
      <c r="A35" s="5" t="s">
        <v>187</v>
      </c>
      <c r="B35" s="5" t="s">
        <v>176</v>
      </c>
      <c r="C35" s="5" t="s">
        <v>188</v>
      </c>
      <c r="D35" s="5" t="s">
        <v>1551</v>
      </c>
      <c r="E35" s="5">
        <v>1</v>
      </c>
      <c r="F35" s="5" t="s">
        <v>1587</v>
      </c>
      <c r="G35" s="5" t="s">
        <v>1553</v>
      </c>
      <c r="H35" s="5">
        <v>0.51886792452830199</v>
      </c>
      <c r="I35" s="9">
        <f t="shared" si="5"/>
        <v>55</v>
      </c>
      <c r="J35" s="5">
        <v>0.48</v>
      </c>
      <c r="K35" s="9">
        <f t="shared" si="6"/>
        <v>36</v>
      </c>
      <c r="L35" s="5">
        <v>0.75</v>
      </c>
      <c r="M35" s="9">
        <f t="shared" si="7"/>
        <v>117</v>
      </c>
      <c r="N35" s="10">
        <f t="shared" si="8"/>
        <v>0.6172106824925816</v>
      </c>
      <c r="O35" s="9">
        <f t="shared" si="9"/>
        <v>208</v>
      </c>
      <c r="P35" s="5"/>
    </row>
    <row r="36" spans="1:16" ht="15" customHeight="1">
      <c r="A36" s="5" t="s">
        <v>187</v>
      </c>
      <c r="B36" s="5"/>
      <c r="C36" s="5"/>
      <c r="D36" s="5"/>
      <c r="E36" s="5">
        <v>2</v>
      </c>
      <c r="F36" s="5" t="s">
        <v>1589</v>
      </c>
      <c r="G36" s="5" t="s">
        <v>1553</v>
      </c>
      <c r="H36" s="5">
        <v>0.38679245283018898</v>
      </c>
      <c r="I36" s="9">
        <f t="shared" si="5"/>
        <v>41</v>
      </c>
      <c r="J36" s="5">
        <v>0.44</v>
      </c>
      <c r="K36" s="9">
        <f t="shared" si="6"/>
        <v>33</v>
      </c>
      <c r="L36" s="5">
        <v>0.21153846153846201</v>
      </c>
      <c r="M36" s="9">
        <f t="shared" si="7"/>
        <v>33</v>
      </c>
      <c r="N36" s="10">
        <f t="shared" si="8"/>
        <v>0.31750741839762614</v>
      </c>
      <c r="O36" s="9">
        <f t="shared" si="9"/>
        <v>107</v>
      </c>
      <c r="P36" s="5"/>
    </row>
    <row r="37" spans="1:16" ht="15" customHeight="1">
      <c r="A37" s="5" t="s">
        <v>187</v>
      </c>
      <c r="B37" s="5"/>
      <c r="C37" s="5"/>
      <c r="D37" s="5"/>
      <c r="E37" s="5">
        <v>3</v>
      </c>
      <c r="F37" s="5" t="s">
        <v>1590</v>
      </c>
      <c r="G37" s="5" t="s">
        <v>1553</v>
      </c>
      <c r="H37" s="5">
        <v>9.4339622641509399E-2</v>
      </c>
      <c r="I37" s="9">
        <f t="shared" si="5"/>
        <v>10</v>
      </c>
      <c r="J37" s="5">
        <v>0.08</v>
      </c>
      <c r="K37" s="9">
        <f t="shared" si="6"/>
        <v>6</v>
      </c>
      <c r="L37" s="5">
        <v>3.8461538461538498E-2</v>
      </c>
      <c r="M37" s="9">
        <f t="shared" si="7"/>
        <v>6</v>
      </c>
      <c r="N37" s="10">
        <f t="shared" si="8"/>
        <v>6.5281899109792291E-2</v>
      </c>
      <c r="O37" s="9">
        <f t="shared" si="9"/>
        <v>22</v>
      </c>
      <c r="P37" s="5"/>
    </row>
    <row r="38" spans="1:16" ht="27.75" customHeight="1">
      <c r="A38" s="5" t="s">
        <v>190</v>
      </c>
      <c r="B38" s="5" t="s">
        <v>176</v>
      </c>
      <c r="C38" s="5" t="s">
        <v>191</v>
      </c>
      <c r="D38" s="5" t="s">
        <v>1551</v>
      </c>
      <c r="E38" s="5">
        <v>1</v>
      </c>
      <c r="F38" s="5" t="s">
        <v>1587</v>
      </c>
      <c r="G38" s="5" t="s">
        <v>1553</v>
      </c>
      <c r="H38" s="5">
        <v>0.820754716981132</v>
      </c>
      <c r="I38" s="9">
        <f t="shared" si="5"/>
        <v>87</v>
      </c>
      <c r="J38" s="5">
        <v>0.73333333333333295</v>
      </c>
      <c r="K38" s="9">
        <f t="shared" si="6"/>
        <v>55</v>
      </c>
      <c r="L38" s="5">
        <v>0.121794871794872</v>
      </c>
      <c r="M38" s="9">
        <f t="shared" si="7"/>
        <v>19</v>
      </c>
      <c r="N38" s="10">
        <f t="shared" si="8"/>
        <v>0.47774480712166173</v>
      </c>
      <c r="O38" s="9">
        <f t="shared" si="9"/>
        <v>161</v>
      </c>
      <c r="P38" s="5"/>
    </row>
    <row r="39" spans="1:16" ht="15" customHeight="1">
      <c r="A39" s="5" t="s">
        <v>190</v>
      </c>
      <c r="B39" s="5"/>
      <c r="C39" s="5"/>
      <c r="D39" s="5"/>
      <c r="E39" s="5">
        <v>2</v>
      </c>
      <c r="F39" s="5" t="s">
        <v>1589</v>
      </c>
      <c r="G39" s="5" t="s">
        <v>1553</v>
      </c>
      <c r="H39" s="5">
        <v>0.122641509433962</v>
      </c>
      <c r="I39" s="9">
        <f t="shared" si="5"/>
        <v>13</v>
      </c>
      <c r="J39" s="5">
        <v>0.17333333333333301</v>
      </c>
      <c r="K39" s="9">
        <f t="shared" si="6"/>
        <v>13</v>
      </c>
      <c r="L39" s="5">
        <v>0.230769230769231</v>
      </c>
      <c r="M39" s="9">
        <f t="shared" si="7"/>
        <v>36</v>
      </c>
      <c r="N39" s="10">
        <f t="shared" si="8"/>
        <v>0.18397626112759644</v>
      </c>
      <c r="O39" s="9">
        <f t="shared" si="9"/>
        <v>62</v>
      </c>
      <c r="P39" s="5"/>
    </row>
    <row r="40" spans="1:16" ht="15" customHeight="1">
      <c r="A40" s="5" t="s">
        <v>190</v>
      </c>
      <c r="B40" s="5"/>
      <c r="C40" s="5"/>
      <c r="D40" s="5"/>
      <c r="E40" s="5">
        <v>3</v>
      </c>
      <c r="F40" s="5" t="s">
        <v>1590</v>
      </c>
      <c r="G40" s="5" t="s">
        <v>1553</v>
      </c>
      <c r="H40" s="5">
        <v>5.6603773584905703E-2</v>
      </c>
      <c r="I40" s="9">
        <f t="shared" si="5"/>
        <v>6</v>
      </c>
      <c r="J40" s="5">
        <v>9.3333333333333296E-2</v>
      </c>
      <c r="K40" s="9">
        <f t="shared" si="6"/>
        <v>7</v>
      </c>
      <c r="L40" s="5">
        <v>0.64743589743589802</v>
      </c>
      <c r="M40" s="9">
        <f t="shared" si="7"/>
        <v>101</v>
      </c>
      <c r="N40" s="10">
        <f t="shared" si="8"/>
        <v>0.33827893175074186</v>
      </c>
      <c r="O40" s="9">
        <f t="shared" si="9"/>
        <v>114</v>
      </c>
      <c r="P40" s="5"/>
    </row>
    <row r="41" spans="1:16" ht="41.25" customHeight="1">
      <c r="A41" s="5" t="s">
        <v>193</v>
      </c>
      <c r="B41" s="5" t="s">
        <v>176</v>
      </c>
      <c r="C41" s="5" t="s">
        <v>1591</v>
      </c>
      <c r="D41" s="5" t="s">
        <v>1551</v>
      </c>
      <c r="E41" s="5">
        <v>1</v>
      </c>
      <c r="F41" s="5" t="s">
        <v>1592</v>
      </c>
      <c r="G41" s="11" t="s">
        <v>1593</v>
      </c>
      <c r="H41" s="5">
        <v>0.820754716981132</v>
      </c>
      <c r="I41" s="9">
        <f t="shared" si="5"/>
        <v>87</v>
      </c>
      <c r="J41" s="5">
        <v>0.82666666666666699</v>
      </c>
      <c r="K41" s="9">
        <f t="shared" si="6"/>
        <v>62</v>
      </c>
      <c r="L41" s="5">
        <v>0.92948717948717996</v>
      </c>
      <c r="M41" s="9">
        <f t="shared" si="7"/>
        <v>145</v>
      </c>
      <c r="N41" s="10">
        <f t="shared" si="8"/>
        <v>0.87240356083086057</v>
      </c>
      <c r="O41" s="9">
        <f t="shared" si="9"/>
        <v>294</v>
      </c>
      <c r="P41" s="5" t="s">
        <v>1594</v>
      </c>
    </row>
    <row r="42" spans="1:16" ht="27.75" customHeight="1">
      <c r="A42" s="5" t="s">
        <v>193</v>
      </c>
      <c r="B42" s="5"/>
      <c r="C42" s="5"/>
      <c r="D42" s="5"/>
      <c r="E42" s="5">
        <v>2</v>
      </c>
      <c r="F42" s="5" t="s">
        <v>1595</v>
      </c>
      <c r="G42" s="11" t="s">
        <v>1596</v>
      </c>
      <c r="H42" s="5">
        <v>0.13207547169811301</v>
      </c>
      <c r="I42" s="9">
        <f t="shared" si="5"/>
        <v>14</v>
      </c>
      <c r="J42" s="5">
        <v>6.6666666666666693E-2</v>
      </c>
      <c r="K42" s="9">
        <f t="shared" si="6"/>
        <v>5</v>
      </c>
      <c r="L42" s="5">
        <v>3.2051282051282097E-2</v>
      </c>
      <c r="M42" s="9">
        <f t="shared" si="7"/>
        <v>5</v>
      </c>
      <c r="N42" s="10">
        <f t="shared" si="8"/>
        <v>7.1216617210682495E-2</v>
      </c>
      <c r="O42" s="9">
        <f t="shared" si="9"/>
        <v>24</v>
      </c>
      <c r="P42" s="5"/>
    </row>
    <row r="43" spans="1:16" ht="27.75" customHeight="1">
      <c r="A43" s="5" t="s">
        <v>193</v>
      </c>
      <c r="B43" s="5"/>
      <c r="C43" s="5"/>
      <c r="D43" s="5"/>
      <c r="E43" s="5">
        <v>3</v>
      </c>
      <c r="F43" s="5" t="s">
        <v>1597</v>
      </c>
      <c r="G43" s="5" t="s">
        <v>1598</v>
      </c>
      <c r="H43" s="5">
        <v>4.71698113207547E-2</v>
      </c>
      <c r="I43" s="9">
        <f t="shared" si="5"/>
        <v>5</v>
      </c>
      <c r="J43" s="5">
        <v>0.10666666666666701</v>
      </c>
      <c r="K43" s="9">
        <f t="shared" si="6"/>
        <v>8</v>
      </c>
      <c r="L43" s="5">
        <v>3.8461538461538498E-2</v>
      </c>
      <c r="M43" s="9">
        <f t="shared" si="7"/>
        <v>6</v>
      </c>
      <c r="N43" s="10">
        <f t="shared" si="8"/>
        <v>5.637982195845697E-2</v>
      </c>
      <c r="O43" s="9">
        <f t="shared" si="9"/>
        <v>19</v>
      </c>
      <c r="P43" s="5"/>
    </row>
    <row r="44" spans="1:16" ht="15" customHeight="1">
      <c r="A44" s="5" t="s">
        <v>193</v>
      </c>
      <c r="B44" s="5"/>
      <c r="C44" s="5"/>
      <c r="D44" s="5"/>
      <c r="E44" s="5">
        <v>4</v>
      </c>
      <c r="F44" s="5" t="s">
        <v>1599</v>
      </c>
      <c r="G44" s="5" t="s">
        <v>1566</v>
      </c>
      <c r="H44" s="5"/>
      <c r="I44" s="5"/>
      <c r="J44" s="5"/>
      <c r="K44" s="5"/>
      <c r="L44" s="5"/>
      <c r="M44" s="5"/>
      <c r="N44" s="5"/>
      <c r="O44" s="5"/>
      <c r="P44" s="5"/>
    </row>
    <row r="45" spans="1:16" ht="15" customHeight="1">
      <c r="A45" s="5" t="s">
        <v>193</v>
      </c>
      <c r="B45" s="5"/>
      <c r="C45" s="5"/>
      <c r="D45" s="5"/>
      <c r="E45" s="5">
        <v>5</v>
      </c>
      <c r="F45" s="5" t="s">
        <v>1600</v>
      </c>
      <c r="G45" s="5" t="s">
        <v>1566</v>
      </c>
      <c r="H45" s="5"/>
      <c r="I45" s="5"/>
      <c r="J45" s="5"/>
      <c r="K45" s="5"/>
      <c r="L45" s="5"/>
      <c r="M45" s="5"/>
      <c r="N45" s="5"/>
      <c r="O45" s="5"/>
      <c r="P45" s="5"/>
    </row>
    <row r="46" spans="1:16" ht="27.75" customHeight="1">
      <c r="A46" s="5" t="s">
        <v>197</v>
      </c>
      <c r="B46" s="5" t="s">
        <v>176</v>
      </c>
      <c r="C46" s="5" t="s">
        <v>199</v>
      </c>
      <c r="D46" s="5" t="s">
        <v>1551</v>
      </c>
      <c r="E46" s="5">
        <v>1</v>
      </c>
      <c r="F46" s="5" t="s">
        <v>1601</v>
      </c>
      <c r="G46" s="5" t="s">
        <v>1553</v>
      </c>
      <c r="H46" s="5">
        <v>0.83018867924528295</v>
      </c>
      <c r="I46" s="9">
        <f>ROUND(H46*106,0)</f>
        <v>88</v>
      </c>
      <c r="J46" s="5">
        <v>0.22666666666666699</v>
      </c>
      <c r="K46" s="9">
        <f>ROUND(J46*75,0)</f>
        <v>17</v>
      </c>
      <c r="L46" s="5">
        <v>1.9230769230769201E-2</v>
      </c>
      <c r="M46" s="9">
        <f>ROUND(L46*156,0)</f>
        <v>3</v>
      </c>
      <c r="N46" s="10">
        <f>O46/337</f>
        <v>0.32047477744807124</v>
      </c>
      <c r="O46" s="9">
        <f>I46+K46+M46</f>
        <v>108</v>
      </c>
      <c r="P46" s="5" t="s">
        <v>1602</v>
      </c>
    </row>
    <row r="47" spans="1:16" ht="15" customHeight="1">
      <c r="A47" s="5" t="s">
        <v>197</v>
      </c>
      <c r="B47" s="5"/>
      <c r="C47" s="5"/>
      <c r="D47" s="5"/>
      <c r="E47" s="5">
        <v>2</v>
      </c>
      <c r="F47" s="5" t="s">
        <v>1603</v>
      </c>
      <c r="G47" s="11" t="s">
        <v>1604</v>
      </c>
      <c r="H47" s="5">
        <v>0.122641509433962</v>
      </c>
      <c r="I47" s="9">
        <f>ROUND(H47*106,0)</f>
        <v>13</v>
      </c>
      <c r="J47" s="5">
        <v>0.68</v>
      </c>
      <c r="K47" s="9">
        <f>ROUND(J47*75,0)</f>
        <v>51</v>
      </c>
      <c r="L47" s="5">
        <v>3.8461538461538498E-2</v>
      </c>
      <c r="M47" s="9">
        <f>ROUND(L47*156,0)</f>
        <v>6</v>
      </c>
      <c r="N47" s="10">
        <f>O47/337</f>
        <v>0.20771513353115728</v>
      </c>
      <c r="O47" s="9">
        <f>I47+K47+M47</f>
        <v>70</v>
      </c>
      <c r="P47" s="5"/>
    </row>
    <row r="48" spans="1:16" ht="15" customHeight="1">
      <c r="A48" s="5" t="s">
        <v>197</v>
      </c>
      <c r="B48" s="5"/>
      <c r="C48" s="5"/>
      <c r="D48" s="5"/>
      <c r="E48" s="5">
        <v>3</v>
      </c>
      <c r="F48" s="5" t="s">
        <v>1605</v>
      </c>
      <c r="G48" s="11" t="s">
        <v>1604</v>
      </c>
      <c r="H48" s="5">
        <v>2.83018867924528E-2</v>
      </c>
      <c r="I48" s="9">
        <f>ROUND(H48*106,0)</f>
        <v>3</v>
      </c>
      <c r="J48" s="5">
        <v>5.3333333333333302E-2</v>
      </c>
      <c r="K48" s="9">
        <f>ROUND(J48*75,0)</f>
        <v>4</v>
      </c>
      <c r="L48" s="5">
        <v>0.78205128205128205</v>
      </c>
      <c r="M48" s="9">
        <f>ROUND(L48*156,0)</f>
        <v>122</v>
      </c>
      <c r="N48" s="10">
        <f>O48/337</f>
        <v>0.3827893175074184</v>
      </c>
      <c r="O48" s="9">
        <f>I48+K48+M48</f>
        <v>129</v>
      </c>
      <c r="P48" s="5"/>
    </row>
    <row r="49" spans="1:16" ht="15" customHeight="1">
      <c r="A49" s="5" t="s">
        <v>197</v>
      </c>
      <c r="B49" s="5"/>
      <c r="C49" s="5"/>
      <c r="D49" s="5"/>
      <c r="E49" s="5">
        <v>4</v>
      </c>
      <c r="F49" s="5" t="s">
        <v>1606</v>
      </c>
      <c r="G49" s="11" t="s">
        <v>1604</v>
      </c>
      <c r="H49" s="5">
        <v>1.88679245283019E-2</v>
      </c>
      <c r="I49" s="9">
        <f>ROUND(H49*106,0)</f>
        <v>2</v>
      </c>
      <c r="J49" s="5">
        <v>0.04</v>
      </c>
      <c r="K49" s="9">
        <f>ROUND(J49*75,0)</f>
        <v>3</v>
      </c>
      <c r="L49" s="5">
        <v>0.16025641025640999</v>
      </c>
      <c r="M49" s="9">
        <f>ROUND(L49*156,0)</f>
        <v>25</v>
      </c>
      <c r="N49" s="10">
        <f>O49/337</f>
        <v>8.9020771513353122E-2</v>
      </c>
      <c r="O49" s="9">
        <f>I49+K49+M49</f>
        <v>30</v>
      </c>
      <c r="P49" s="5"/>
    </row>
    <row r="50" spans="1:16" ht="15" customHeight="1">
      <c r="A50" s="5" t="s">
        <v>197</v>
      </c>
      <c r="B50" s="5"/>
      <c r="C50" s="5"/>
      <c r="D50" s="5"/>
      <c r="E50" s="5">
        <v>5</v>
      </c>
      <c r="F50" s="5" t="s">
        <v>1607</v>
      </c>
      <c r="G50" s="5" t="s">
        <v>1566</v>
      </c>
      <c r="H50" s="5"/>
      <c r="I50" s="5"/>
      <c r="J50" s="5"/>
      <c r="K50" s="5"/>
      <c r="L50" s="5"/>
      <c r="M50" s="5"/>
      <c r="N50" s="5"/>
      <c r="O50" s="5"/>
      <c r="P50" s="5"/>
    </row>
    <row r="51" spans="1:16" ht="15" customHeight="1">
      <c r="A51" s="5" t="s">
        <v>197</v>
      </c>
      <c r="B51" s="5"/>
      <c r="C51" s="5"/>
      <c r="D51" s="5"/>
      <c r="E51" s="5">
        <v>6</v>
      </c>
      <c r="F51" s="5" t="s">
        <v>1608</v>
      </c>
      <c r="G51" s="5" t="s">
        <v>1566</v>
      </c>
      <c r="H51" s="5"/>
      <c r="I51" s="5"/>
      <c r="J51" s="5"/>
      <c r="K51" s="5"/>
      <c r="L51" s="5"/>
      <c r="M51" s="5"/>
      <c r="N51" s="5"/>
      <c r="O51" s="5"/>
      <c r="P51" s="5"/>
    </row>
    <row r="52" spans="1:16" ht="15" customHeight="1">
      <c r="A52" s="5" t="s">
        <v>197</v>
      </c>
      <c r="B52" s="5"/>
      <c r="C52" s="5"/>
      <c r="D52" s="5"/>
      <c r="E52" s="5">
        <v>7</v>
      </c>
      <c r="F52" s="5" t="s">
        <v>1609</v>
      </c>
      <c r="G52" s="5" t="s">
        <v>1566</v>
      </c>
      <c r="H52" s="5"/>
      <c r="I52" s="5"/>
      <c r="J52" s="5"/>
      <c r="K52" s="5"/>
      <c r="L52" s="5"/>
      <c r="M52" s="5"/>
      <c r="N52" s="5"/>
      <c r="O52" s="5"/>
      <c r="P52" s="5"/>
    </row>
    <row r="53" spans="1:16" ht="15" customHeight="1">
      <c r="A53" s="5" t="s">
        <v>197</v>
      </c>
      <c r="B53" s="5"/>
      <c r="C53" s="5"/>
      <c r="D53" s="5"/>
      <c r="E53" s="5">
        <v>8</v>
      </c>
      <c r="F53" s="5" t="s">
        <v>1600</v>
      </c>
      <c r="G53" s="5" t="s">
        <v>1566</v>
      </c>
      <c r="H53" s="5"/>
      <c r="I53" s="5"/>
      <c r="J53" s="5"/>
      <c r="K53" s="5"/>
      <c r="L53" s="5"/>
      <c r="M53" s="5"/>
      <c r="N53" s="5"/>
      <c r="O53" s="5"/>
      <c r="P53" s="5"/>
    </row>
    <row r="54" spans="1:16" ht="27.75" customHeight="1">
      <c r="A54" s="5" t="s">
        <v>201</v>
      </c>
      <c r="B54" s="5" t="s">
        <v>202</v>
      </c>
      <c r="C54" s="5" t="s">
        <v>203</v>
      </c>
      <c r="D54" s="5" t="s">
        <v>1551</v>
      </c>
      <c r="E54" s="5">
        <v>1</v>
      </c>
      <c r="F54" s="5" t="s">
        <v>1610</v>
      </c>
      <c r="G54" s="11" t="s">
        <v>1604</v>
      </c>
      <c r="H54" s="5">
        <v>5.6603773584905703E-2</v>
      </c>
      <c r="I54" s="9">
        <f>ROUND(H54*106,0)</f>
        <v>6</v>
      </c>
      <c r="J54" s="5">
        <v>0</v>
      </c>
      <c r="K54" s="9">
        <f>ROUND(J54*75,0)</f>
        <v>0</v>
      </c>
      <c r="L54" s="5">
        <v>0.73076923076923095</v>
      </c>
      <c r="M54" s="9">
        <f>ROUND(L54*156,0)</f>
        <v>114</v>
      </c>
      <c r="N54" s="10">
        <f>O54/337</f>
        <v>0.35608308605341249</v>
      </c>
      <c r="O54" s="9">
        <f>I54+K54+M54</f>
        <v>120</v>
      </c>
      <c r="P54" s="5" t="s">
        <v>1611</v>
      </c>
    </row>
    <row r="55" spans="1:16" ht="15" customHeight="1">
      <c r="A55" s="5" t="s">
        <v>201</v>
      </c>
      <c r="B55" s="5"/>
      <c r="C55" s="5"/>
      <c r="D55" s="5"/>
      <c r="E55" s="5">
        <v>2</v>
      </c>
      <c r="F55" s="5" t="s">
        <v>1612</v>
      </c>
      <c r="G55" s="11" t="s">
        <v>1604</v>
      </c>
      <c r="H55" s="5">
        <v>1.88679245283019E-2</v>
      </c>
      <c r="I55" s="9">
        <f>ROUND(H55*106,0)</f>
        <v>2</v>
      </c>
      <c r="J55" s="5">
        <v>0.10666666666666701</v>
      </c>
      <c r="K55" s="9">
        <f>ROUND(J55*75,0)</f>
        <v>8</v>
      </c>
      <c r="L55" s="5">
        <v>0.21153846153846201</v>
      </c>
      <c r="M55" s="9">
        <f>ROUND(L55*156,0)</f>
        <v>33</v>
      </c>
      <c r="N55" s="10">
        <f>O55/337</f>
        <v>0.12759643916913946</v>
      </c>
      <c r="O55" s="9">
        <f>I55+K55+M55</f>
        <v>43</v>
      </c>
      <c r="P55" s="5"/>
    </row>
    <row r="56" spans="1:16" ht="15" customHeight="1">
      <c r="A56" s="5" t="s">
        <v>201</v>
      </c>
      <c r="B56" s="5"/>
      <c r="C56" s="5"/>
      <c r="D56" s="5"/>
      <c r="E56" s="5">
        <v>3</v>
      </c>
      <c r="F56" s="5" t="s">
        <v>1613</v>
      </c>
      <c r="G56" s="11" t="s">
        <v>1604</v>
      </c>
      <c r="H56" s="5">
        <v>1.88679245283019E-2</v>
      </c>
      <c r="I56" s="9">
        <f>ROUND(H56*106,0)</f>
        <v>2</v>
      </c>
      <c r="J56" s="5">
        <v>0.62666666666666704</v>
      </c>
      <c r="K56" s="9">
        <f>ROUND(J56*75,0)</f>
        <v>47</v>
      </c>
      <c r="L56" s="5">
        <v>5.1282051282051301E-2</v>
      </c>
      <c r="M56" s="9">
        <f>ROUND(L56*156,0)</f>
        <v>8</v>
      </c>
      <c r="N56" s="10">
        <f>O56/337</f>
        <v>0.16913946587537093</v>
      </c>
      <c r="O56" s="9">
        <f>I56+K56+M56</f>
        <v>57</v>
      </c>
      <c r="P56" s="5"/>
    </row>
    <row r="57" spans="1:16" ht="15" customHeight="1">
      <c r="A57" s="5" t="s">
        <v>201</v>
      </c>
      <c r="B57" s="5"/>
      <c r="C57" s="5"/>
      <c r="D57" s="5"/>
      <c r="E57" s="5">
        <v>4</v>
      </c>
      <c r="F57" s="5" t="s">
        <v>1614</v>
      </c>
      <c r="G57" s="11" t="s">
        <v>1604</v>
      </c>
      <c r="H57" s="5">
        <v>0.57547169811320797</v>
      </c>
      <c r="I57" s="9">
        <f>ROUND(H57*106,0)</f>
        <v>61</v>
      </c>
      <c r="J57" s="5">
        <v>0.21333333333333299</v>
      </c>
      <c r="K57" s="9">
        <f>ROUND(J57*75,0)</f>
        <v>16</v>
      </c>
      <c r="L57" s="5">
        <v>6.41025641025641E-3</v>
      </c>
      <c r="M57" s="9">
        <f>ROUND(L57*156,0)</f>
        <v>1</v>
      </c>
      <c r="N57" s="10">
        <f>O57/337</f>
        <v>0.2314540059347181</v>
      </c>
      <c r="O57" s="9">
        <f>I57+K57+M57</f>
        <v>78</v>
      </c>
      <c r="P57" s="5"/>
    </row>
    <row r="58" spans="1:16" ht="15" customHeight="1">
      <c r="A58" s="5" t="s">
        <v>201</v>
      </c>
      <c r="B58" s="5"/>
      <c r="C58" s="5"/>
      <c r="D58" s="5"/>
      <c r="E58" s="5">
        <v>5</v>
      </c>
      <c r="F58" s="5" t="s">
        <v>1615</v>
      </c>
      <c r="G58" s="11" t="s">
        <v>1604</v>
      </c>
      <c r="H58" s="5">
        <v>0.330188679245283</v>
      </c>
      <c r="I58" s="9">
        <f>ROUND(H58*106,0)</f>
        <v>35</v>
      </c>
      <c r="J58" s="5">
        <v>5.3333333333333302E-2</v>
      </c>
      <c r="K58" s="9">
        <f>ROUND(J58*75,0)</f>
        <v>4</v>
      </c>
      <c r="L58" s="5">
        <v>0</v>
      </c>
      <c r="M58" s="9">
        <f>ROUND(L58*156,0)</f>
        <v>0</v>
      </c>
      <c r="N58" s="10">
        <f>O58/337</f>
        <v>0.11572700296735905</v>
      </c>
      <c r="O58" s="9">
        <f>I58+K58+M58</f>
        <v>39</v>
      </c>
      <c r="P58" s="5"/>
    </row>
    <row r="59" spans="1:16" ht="15" customHeight="1">
      <c r="A59" s="5" t="s">
        <v>201</v>
      </c>
      <c r="B59" s="5"/>
      <c r="C59" s="5"/>
      <c r="D59" s="5"/>
      <c r="E59" s="5">
        <v>6</v>
      </c>
      <c r="F59" s="5" t="s">
        <v>1616</v>
      </c>
      <c r="G59" s="5" t="s">
        <v>1566</v>
      </c>
      <c r="H59" s="5"/>
      <c r="I59" s="5"/>
      <c r="J59" s="5"/>
      <c r="K59" s="5"/>
      <c r="L59" s="5"/>
      <c r="M59" s="5"/>
      <c r="N59" s="5"/>
      <c r="O59" s="5"/>
      <c r="P59" s="5"/>
    </row>
    <row r="60" spans="1:16" ht="15" customHeight="1">
      <c r="A60" s="5" t="s">
        <v>201</v>
      </c>
      <c r="B60" s="5"/>
      <c r="C60" s="5"/>
      <c r="D60" s="5"/>
      <c r="E60" s="5">
        <v>7</v>
      </c>
      <c r="F60" s="5" t="s">
        <v>1617</v>
      </c>
      <c r="G60" s="5" t="s">
        <v>1566</v>
      </c>
      <c r="H60" s="5"/>
      <c r="I60" s="5"/>
      <c r="J60" s="5"/>
      <c r="K60" s="5"/>
      <c r="L60" s="5"/>
      <c r="M60" s="5"/>
      <c r="N60" s="5"/>
      <c r="O60" s="5"/>
      <c r="P60" s="5"/>
    </row>
    <row r="61" spans="1:16" ht="15" customHeight="1">
      <c r="A61" s="5" t="s">
        <v>201</v>
      </c>
      <c r="B61" s="5"/>
      <c r="C61" s="5"/>
      <c r="D61" s="5"/>
      <c r="E61" s="5">
        <v>8</v>
      </c>
      <c r="F61" s="5" t="s">
        <v>1618</v>
      </c>
      <c r="G61" s="5" t="s">
        <v>1566</v>
      </c>
      <c r="H61" s="5"/>
      <c r="I61" s="5"/>
      <c r="J61" s="5"/>
      <c r="K61" s="5"/>
      <c r="L61" s="5"/>
      <c r="M61" s="5"/>
      <c r="N61" s="5"/>
      <c r="O61" s="5"/>
      <c r="P61" s="5"/>
    </row>
    <row r="62" spans="1:16" ht="15" customHeight="1">
      <c r="A62" s="5" t="s">
        <v>201</v>
      </c>
      <c r="B62" s="5"/>
      <c r="C62" s="5"/>
      <c r="D62" s="5"/>
      <c r="E62" s="5">
        <v>9</v>
      </c>
      <c r="F62" s="5" t="s">
        <v>1619</v>
      </c>
      <c r="G62" s="5" t="s">
        <v>1566</v>
      </c>
      <c r="H62" s="5"/>
      <c r="I62" s="5"/>
      <c r="J62" s="5"/>
      <c r="K62" s="5"/>
      <c r="L62" s="5"/>
      <c r="M62" s="5"/>
      <c r="N62" s="5"/>
      <c r="O62" s="5"/>
      <c r="P62" s="5"/>
    </row>
    <row r="63" spans="1:16" ht="15" customHeight="1">
      <c r="A63" s="5" t="s">
        <v>201</v>
      </c>
      <c r="B63" s="5"/>
      <c r="C63" s="5"/>
      <c r="D63" s="5"/>
      <c r="E63" s="5">
        <v>10</v>
      </c>
      <c r="F63" s="5" t="s">
        <v>1620</v>
      </c>
      <c r="G63" s="5" t="s">
        <v>1566</v>
      </c>
      <c r="H63" s="5"/>
      <c r="I63" s="5"/>
      <c r="J63" s="5"/>
      <c r="K63" s="5"/>
      <c r="L63" s="5"/>
      <c r="M63" s="5"/>
      <c r="N63" s="5"/>
      <c r="O63" s="5"/>
      <c r="P63" s="5"/>
    </row>
    <row r="64" spans="1:16" ht="15" customHeight="1">
      <c r="A64" s="5" t="s">
        <v>201</v>
      </c>
      <c r="B64" s="5"/>
      <c r="C64" s="5"/>
      <c r="D64" s="5"/>
      <c r="E64" s="5">
        <v>11</v>
      </c>
      <c r="F64" s="5" t="s">
        <v>1621</v>
      </c>
      <c r="G64" s="5" t="s">
        <v>1566</v>
      </c>
      <c r="H64" s="5"/>
      <c r="I64" s="5"/>
      <c r="J64" s="5"/>
      <c r="K64" s="5"/>
      <c r="L64" s="5"/>
      <c r="M64" s="5"/>
      <c r="N64" s="5"/>
      <c r="O64" s="5"/>
      <c r="P64" s="5"/>
    </row>
    <row r="65" spans="1:16" ht="27.75" customHeight="1">
      <c r="A65" s="5" t="s">
        <v>206</v>
      </c>
      <c r="B65" s="5" t="s">
        <v>202</v>
      </c>
      <c r="C65" s="5" t="s">
        <v>207</v>
      </c>
      <c r="D65" s="5" t="s">
        <v>1622</v>
      </c>
      <c r="E65" s="5">
        <v>1</v>
      </c>
      <c r="F65" s="5" t="s">
        <v>1623</v>
      </c>
      <c r="G65" s="5" t="s">
        <v>1624</v>
      </c>
      <c r="H65" s="5">
        <v>0</v>
      </c>
      <c r="I65" s="9">
        <f>ROUND(H65*106,0)</f>
        <v>0</v>
      </c>
      <c r="J65" s="5">
        <v>0</v>
      </c>
      <c r="K65" s="9">
        <f>ROUND(J65*75,0)</f>
        <v>0</v>
      </c>
      <c r="L65" s="5">
        <v>0.67948717948717996</v>
      </c>
      <c r="M65" s="9">
        <f>ROUND(L65*156,0)</f>
        <v>106</v>
      </c>
      <c r="N65" s="10">
        <f>O65/337</f>
        <v>0.31454005934718099</v>
      </c>
      <c r="O65" s="9">
        <f>I65+K65+M65</f>
        <v>106</v>
      </c>
      <c r="P65" s="5" t="s">
        <v>1625</v>
      </c>
    </row>
    <row r="66" spans="1:16" ht="27.75" customHeight="1">
      <c r="A66" s="5" t="s">
        <v>206</v>
      </c>
      <c r="B66" s="5"/>
      <c r="C66" s="5"/>
      <c r="D66" s="5"/>
      <c r="E66" s="5">
        <v>2</v>
      </c>
      <c r="F66" s="5" t="s">
        <v>1626</v>
      </c>
      <c r="G66" s="5" t="s">
        <v>1624</v>
      </c>
      <c r="H66" s="5">
        <v>0.160377358490566</v>
      </c>
      <c r="I66" s="9">
        <f>ROUND(H66*106,0)</f>
        <v>17</v>
      </c>
      <c r="J66" s="5">
        <v>0.37333333333333302</v>
      </c>
      <c r="K66" s="9">
        <f>ROUND(J66*75,0)</f>
        <v>28</v>
      </c>
      <c r="L66" s="5">
        <v>0.21794871794871801</v>
      </c>
      <c r="M66" s="9">
        <f>ROUND(L66*156,0)</f>
        <v>34</v>
      </c>
      <c r="N66" s="10">
        <f>O66/337</f>
        <v>0.23442136498516319</v>
      </c>
      <c r="O66" s="9">
        <f>I66+K66+M66</f>
        <v>79</v>
      </c>
      <c r="P66" s="5"/>
    </row>
    <row r="67" spans="1:16" ht="27.75" customHeight="1">
      <c r="A67" s="5" t="s">
        <v>206</v>
      </c>
      <c r="B67" s="5"/>
      <c r="C67" s="5"/>
      <c r="D67" s="5"/>
      <c r="E67" s="5">
        <v>3</v>
      </c>
      <c r="F67" s="5" t="s">
        <v>1627</v>
      </c>
      <c r="G67" s="5" t="s">
        <v>1624</v>
      </c>
      <c r="H67" s="5">
        <v>0.51886792452830199</v>
      </c>
      <c r="I67" s="9">
        <f>ROUND(H67*106,0)</f>
        <v>55</v>
      </c>
      <c r="J67" s="5">
        <v>5.3333333333333302E-2</v>
      </c>
      <c r="K67" s="9">
        <f>ROUND(J67*75,0)</f>
        <v>4</v>
      </c>
      <c r="L67" s="5">
        <v>3.8461538461538498E-2</v>
      </c>
      <c r="M67" s="9">
        <f>ROUND(L67*156,0)</f>
        <v>6</v>
      </c>
      <c r="N67" s="10">
        <f>O67/337</f>
        <v>0.19287833827893175</v>
      </c>
      <c r="O67" s="9">
        <f>I67+K67+M67</f>
        <v>65</v>
      </c>
      <c r="P67" s="5"/>
    </row>
    <row r="68" spans="1:16" ht="27.75" customHeight="1">
      <c r="A68" s="5" t="s">
        <v>206</v>
      </c>
      <c r="B68" s="5"/>
      <c r="C68" s="5"/>
      <c r="D68" s="5"/>
      <c r="E68" s="5">
        <v>4</v>
      </c>
      <c r="F68" s="5" t="s">
        <v>1628</v>
      </c>
      <c r="G68" s="5" t="s">
        <v>1624</v>
      </c>
      <c r="H68" s="5">
        <v>0.28301886792452802</v>
      </c>
      <c r="I68" s="9">
        <f>ROUND(H68*106,0)</f>
        <v>30</v>
      </c>
      <c r="J68" s="5">
        <v>0.146666666666667</v>
      </c>
      <c r="K68" s="9">
        <f>ROUND(J68*75,0)</f>
        <v>11</v>
      </c>
      <c r="L68" s="5">
        <v>6.4102564102564097E-2</v>
      </c>
      <c r="M68" s="9">
        <f>ROUND(L68*156,0)</f>
        <v>10</v>
      </c>
      <c r="N68" s="10">
        <f>O68/337</f>
        <v>0.1513353115727003</v>
      </c>
      <c r="O68" s="9">
        <f>I68+K68+M68</f>
        <v>51</v>
      </c>
      <c r="P68" s="5"/>
    </row>
    <row r="69" spans="1:16" ht="27.75" customHeight="1">
      <c r="A69" s="5" t="s">
        <v>206</v>
      </c>
      <c r="B69" s="5"/>
      <c r="C69" s="5"/>
      <c r="D69" s="5"/>
      <c r="E69" s="5">
        <v>5</v>
      </c>
      <c r="F69" s="5" t="s">
        <v>1629</v>
      </c>
      <c r="G69" s="5" t="s">
        <v>1624</v>
      </c>
      <c r="H69" s="5">
        <v>3.77358490566038E-2</v>
      </c>
      <c r="I69" s="9">
        <f>ROUND(H69*106,0)</f>
        <v>4</v>
      </c>
      <c r="J69" s="5">
        <v>0.42666666666666703</v>
      </c>
      <c r="K69" s="9">
        <f>ROUND(J69*75,0)</f>
        <v>32</v>
      </c>
      <c r="L69" s="5">
        <v>0</v>
      </c>
      <c r="M69" s="9">
        <f>ROUND(L69*156,0)</f>
        <v>0</v>
      </c>
      <c r="N69" s="10">
        <f>O69/337</f>
        <v>0.10682492581602374</v>
      </c>
      <c r="O69" s="9">
        <f>I69+K69+M69</f>
        <v>36</v>
      </c>
      <c r="P69" s="5"/>
    </row>
    <row r="70" spans="1:16" ht="15.75" customHeight="1"/>
    <row r="71" spans="1:16" ht="15.75" customHeight="1"/>
    <row r="72" spans="1:16" ht="15.75" customHeight="1"/>
    <row r="73" spans="1:16" ht="15.75" customHeight="1"/>
    <row r="74" spans="1:16" ht="15.75" customHeight="1"/>
    <row r="75" spans="1:16" ht="15.75" customHeight="1"/>
    <row r="76" spans="1:16" ht="15.75" customHeight="1"/>
    <row r="77" spans="1:16" ht="15.75" customHeight="1"/>
    <row r="78" spans="1:16" ht="15.75" customHeight="1"/>
    <row r="79" spans="1:16" ht="15.75" customHeight="1"/>
    <row r="80" spans="1:1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P69"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P338"/>
  <sheetViews>
    <sheetView workbookViewId="0">
      <pane ySplit="1" topLeftCell="A278" activePane="bottomLeft" state="frozen"/>
      <selection pane="bottomLeft" activeCell="G297" sqref="G297"/>
    </sheetView>
  </sheetViews>
  <sheetFormatPr defaultRowHeight="14.4"/>
  <cols>
    <col min="1" max="1" width="13" style="2" customWidth="1"/>
    <col min="2" max="2" width="15" style="2" customWidth="1"/>
    <col min="3" max="3" width="24" style="2" customWidth="1"/>
    <col min="6" max="6" width="17" bestFit="1" customWidth="1"/>
    <col min="7" max="7" width="13.33203125" bestFit="1" customWidth="1"/>
    <col min="8" max="8" width="12.88671875" bestFit="1" customWidth="1"/>
    <col min="9" max="9" width="14.88671875" bestFit="1" customWidth="1"/>
    <col min="10" max="10" width="14.21875" bestFit="1" customWidth="1"/>
    <col min="11" max="11" width="12.88671875" bestFit="1" customWidth="1"/>
    <col min="12" max="12" width="14" bestFit="1" customWidth="1"/>
    <col min="13" max="13" width="17.33203125" bestFit="1" customWidth="1"/>
    <col min="14" max="14" width="20.77734375" bestFit="1" customWidth="1"/>
    <col min="15" max="15" width="20" bestFit="1" customWidth="1"/>
    <col min="16" max="16" width="21.77734375" bestFit="1" customWidth="1"/>
  </cols>
  <sheetData>
    <row r="1" spans="1:16" ht="33.75" customHeight="1">
      <c r="A1" s="12" t="s">
        <v>38</v>
      </c>
      <c r="B1" s="12" t="s">
        <v>286</v>
      </c>
      <c r="C1" s="12" t="s">
        <v>158</v>
      </c>
      <c r="D1" s="12" t="s">
        <v>162</v>
      </c>
      <c r="E1" s="12" t="s">
        <v>167</v>
      </c>
      <c r="F1" s="12" t="s">
        <v>170</v>
      </c>
      <c r="G1" s="12" t="s">
        <v>174</v>
      </c>
      <c r="H1" s="12" t="s">
        <v>180</v>
      </c>
      <c r="I1" s="12" t="s">
        <v>183</v>
      </c>
      <c r="J1" s="12" t="s">
        <v>186</v>
      </c>
      <c r="K1" s="12" t="s">
        <v>189</v>
      </c>
      <c r="L1" s="12" t="s">
        <v>192</v>
      </c>
      <c r="M1" s="12" t="s">
        <v>196</v>
      </c>
      <c r="N1" s="12" t="s">
        <v>200</v>
      </c>
      <c r="O1" s="12" t="s">
        <v>205</v>
      </c>
      <c r="P1" s="12" t="s">
        <v>210</v>
      </c>
    </row>
    <row r="2" spans="1:16" ht="15" customHeight="1">
      <c r="A2" s="13">
        <v>1</v>
      </c>
      <c r="B2" s="13" t="s">
        <v>299</v>
      </c>
      <c r="C2" s="13" t="s">
        <v>1552</v>
      </c>
      <c r="D2" s="13" t="s">
        <v>1560</v>
      </c>
      <c r="E2" s="13" t="s">
        <v>1571</v>
      </c>
      <c r="F2" s="13" t="s">
        <v>1574</v>
      </c>
      <c r="G2" s="13" t="s">
        <v>1583</v>
      </c>
      <c r="H2" s="13" t="s">
        <v>1587</v>
      </c>
      <c r="I2" s="13" t="s">
        <v>1590</v>
      </c>
      <c r="J2" s="13" t="s">
        <v>1590</v>
      </c>
      <c r="K2" s="13" t="s">
        <v>1587</v>
      </c>
      <c r="L2" s="13" t="s">
        <v>1587</v>
      </c>
      <c r="M2" s="13" t="s">
        <v>1592</v>
      </c>
      <c r="N2" s="13" t="s">
        <v>1601</v>
      </c>
      <c r="O2" s="13" t="s">
        <v>1610</v>
      </c>
      <c r="P2" s="13" t="s">
        <v>1627</v>
      </c>
    </row>
    <row r="3" spans="1:16" ht="15" customHeight="1">
      <c r="A3" s="14">
        <v>2</v>
      </c>
      <c r="B3" s="14" t="s">
        <v>299</v>
      </c>
      <c r="C3" s="14" t="s">
        <v>1552</v>
      </c>
      <c r="D3" s="14" t="s">
        <v>1560</v>
      </c>
      <c r="E3" s="14" t="s">
        <v>1573</v>
      </c>
      <c r="F3" s="14" t="s">
        <v>1574</v>
      </c>
      <c r="G3" s="14" t="s">
        <v>1583</v>
      </c>
      <c r="H3" s="14" t="s">
        <v>1587</v>
      </c>
      <c r="I3" s="14" t="s">
        <v>1589</v>
      </c>
      <c r="J3" s="14" t="s">
        <v>1590</v>
      </c>
      <c r="K3" s="14" t="s">
        <v>1589</v>
      </c>
      <c r="L3" s="14" t="s">
        <v>1587</v>
      </c>
      <c r="M3" s="14" t="s">
        <v>1592</v>
      </c>
      <c r="N3" s="14" t="s">
        <v>1601</v>
      </c>
      <c r="O3" s="14" t="s">
        <v>1614</v>
      </c>
      <c r="P3" s="14" t="s">
        <v>1627</v>
      </c>
    </row>
    <row r="4" spans="1:16" ht="15" customHeight="1">
      <c r="A4" s="13">
        <v>3</v>
      </c>
      <c r="B4" s="13" t="s">
        <v>299</v>
      </c>
      <c r="C4" s="13" t="s">
        <v>1552</v>
      </c>
      <c r="D4" s="13" t="s">
        <v>1560</v>
      </c>
      <c r="E4" s="13" t="s">
        <v>1573</v>
      </c>
      <c r="F4" s="13" t="s">
        <v>1574</v>
      </c>
      <c r="G4" s="13" t="s">
        <v>1585</v>
      </c>
      <c r="H4" s="13" t="s">
        <v>1587</v>
      </c>
      <c r="I4" s="13" t="s">
        <v>1590</v>
      </c>
      <c r="J4" s="13" t="s">
        <v>1590</v>
      </c>
      <c r="K4" s="13" t="s">
        <v>1587</v>
      </c>
      <c r="L4" s="13" t="s">
        <v>1587</v>
      </c>
      <c r="M4" s="13" t="s">
        <v>1592</v>
      </c>
      <c r="N4" s="13" t="s">
        <v>1601</v>
      </c>
      <c r="O4" s="13" t="s">
        <v>1614</v>
      </c>
      <c r="P4" s="13" t="s">
        <v>1627</v>
      </c>
    </row>
    <row r="5" spans="1:16" ht="15" customHeight="1">
      <c r="A5" s="14">
        <v>4</v>
      </c>
      <c r="B5" s="14" t="s">
        <v>299</v>
      </c>
      <c r="C5" s="14" t="s">
        <v>1552</v>
      </c>
      <c r="D5" s="14" t="s">
        <v>1560</v>
      </c>
      <c r="E5" s="14" t="s">
        <v>1572</v>
      </c>
      <c r="F5" s="14" t="s">
        <v>1574</v>
      </c>
      <c r="G5" s="14" t="s">
        <v>1583</v>
      </c>
      <c r="H5" s="14" t="s">
        <v>1587</v>
      </c>
      <c r="I5" s="14" t="s">
        <v>1590</v>
      </c>
      <c r="J5" s="14" t="s">
        <v>1590</v>
      </c>
      <c r="K5" s="14" t="s">
        <v>1587</v>
      </c>
      <c r="L5" s="14" t="s">
        <v>1590</v>
      </c>
      <c r="M5" s="14" t="s">
        <v>1595</v>
      </c>
      <c r="N5" s="14" t="s">
        <v>1601</v>
      </c>
      <c r="O5" s="14" t="s">
        <v>1610</v>
      </c>
      <c r="P5" s="14" t="s">
        <v>1626</v>
      </c>
    </row>
    <row r="6" spans="1:16" ht="15" customHeight="1">
      <c r="A6" s="13">
        <v>5</v>
      </c>
      <c r="B6" s="13" t="s">
        <v>299</v>
      </c>
      <c r="C6" s="13" t="s">
        <v>1552</v>
      </c>
      <c r="D6" s="13" t="s">
        <v>1560</v>
      </c>
      <c r="E6" s="13" t="s">
        <v>1573</v>
      </c>
      <c r="F6" s="13" t="s">
        <v>1574</v>
      </c>
      <c r="G6" s="13" t="s">
        <v>1585</v>
      </c>
      <c r="H6" s="13" t="s">
        <v>1590</v>
      </c>
      <c r="I6" s="13" t="s">
        <v>1590</v>
      </c>
      <c r="J6" s="13" t="s">
        <v>1590</v>
      </c>
      <c r="K6" s="13" t="s">
        <v>1587</v>
      </c>
      <c r="L6" s="13" t="s">
        <v>1589</v>
      </c>
      <c r="M6" s="13" t="s">
        <v>1592</v>
      </c>
      <c r="N6" s="13" t="s">
        <v>1601</v>
      </c>
      <c r="O6" s="13" t="s">
        <v>1615</v>
      </c>
      <c r="P6" s="13" t="s">
        <v>1628</v>
      </c>
    </row>
    <row r="7" spans="1:16" ht="15" customHeight="1">
      <c r="A7" s="14">
        <v>6</v>
      </c>
      <c r="B7" s="14" t="s">
        <v>299</v>
      </c>
      <c r="C7" s="14" t="s">
        <v>1552</v>
      </c>
      <c r="D7" s="14" t="s">
        <v>1560</v>
      </c>
      <c r="E7" s="14" t="s">
        <v>1572</v>
      </c>
      <c r="F7" s="14" t="s">
        <v>1574</v>
      </c>
      <c r="G7" s="14" t="s">
        <v>1583</v>
      </c>
      <c r="H7" s="14" t="s">
        <v>1587</v>
      </c>
      <c r="I7" s="14" t="s">
        <v>1590</v>
      </c>
      <c r="J7" s="14" t="s">
        <v>1590</v>
      </c>
      <c r="K7" s="14" t="s">
        <v>1589</v>
      </c>
      <c r="L7" s="14" t="s">
        <v>1589</v>
      </c>
      <c r="M7" s="14" t="s">
        <v>1592</v>
      </c>
      <c r="N7" s="14" t="s">
        <v>1603</v>
      </c>
      <c r="O7" s="14" t="s">
        <v>1614</v>
      </c>
      <c r="P7" s="14" t="s">
        <v>1627</v>
      </c>
    </row>
    <row r="8" spans="1:16" ht="15" customHeight="1">
      <c r="A8" s="13">
        <v>7</v>
      </c>
      <c r="B8" s="13" t="s">
        <v>299</v>
      </c>
      <c r="C8" s="13" t="s">
        <v>1556</v>
      </c>
      <c r="D8" s="13" t="s">
        <v>1560</v>
      </c>
      <c r="E8" s="13" t="s">
        <v>1573</v>
      </c>
      <c r="F8" s="13" t="s">
        <v>1574</v>
      </c>
      <c r="G8" s="13" t="s">
        <v>1585</v>
      </c>
      <c r="H8" s="13" t="s">
        <v>1587</v>
      </c>
      <c r="I8" s="13" t="s">
        <v>1589</v>
      </c>
      <c r="J8" s="13" t="s">
        <v>1590</v>
      </c>
      <c r="K8" s="13" t="s">
        <v>1587</v>
      </c>
      <c r="L8" s="13" t="s">
        <v>1587</v>
      </c>
      <c r="M8" s="13" t="s">
        <v>1592</v>
      </c>
      <c r="N8" s="13" t="s">
        <v>1601</v>
      </c>
      <c r="O8" s="13" t="s">
        <v>1614</v>
      </c>
      <c r="P8" s="13" t="s">
        <v>1626</v>
      </c>
    </row>
    <row r="9" spans="1:16" ht="15" customHeight="1">
      <c r="A9" s="14">
        <v>8</v>
      </c>
      <c r="B9" s="14" t="s">
        <v>299</v>
      </c>
      <c r="C9" s="14" t="s">
        <v>1552</v>
      </c>
      <c r="D9" s="14" t="s">
        <v>1560</v>
      </c>
      <c r="E9" s="14" t="s">
        <v>1573</v>
      </c>
      <c r="F9" s="14" t="s">
        <v>1574</v>
      </c>
      <c r="G9" s="14" t="s">
        <v>1585</v>
      </c>
      <c r="H9" s="14" t="s">
        <v>1590</v>
      </c>
      <c r="I9" s="14" t="s">
        <v>1589</v>
      </c>
      <c r="J9" s="14" t="s">
        <v>1587</v>
      </c>
      <c r="K9" s="14" t="s">
        <v>1589</v>
      </c>
      <c r="L9" s="14" t="s">
        <v>1589</v>
      </c>
      <c r="M9" s="14" t="s">
        <v>1592</v>
      </c>
      <c r="N9" s="14" t="s">
        <v>1601</v>
      </c>
      <c r="O9" s="14" t="s">
        <v>1614</v>
      </c>
      <c r="P9" s="14" t="s">
        <v>1627</v>
      </c>
    </row>
    <row r="10" spans="1:16" ht="15" customHeight="1">
      <c r="A10" s="13">
        <v>9</v>
      </c>
      <c r="B10" s="13" t="s">
        <v>299</v>
      </c>
      <c r="C10" s="13" t="s">
        <v>1552</v>
      </c>
      <c r="D10" s="13" t="s">
        <v>1560</v>
      </c>
      <c r="E10" s="13" t="s">
        <v>1572</v>
      </c>
      <c r="F10" s="13" t="s">
        <v>1574</v>
      </c>
      <c r="G10" s="13" t="s">
        <v>1583</v>
      </c>
      <c r="H10" s="13" t="s">
        <v>1589</v>
      </c>
      <c r="I10" s="13" t="s">
        <v>1590</v>
      </c>
      <c r="J10" s="13" t="s">
        <v>1590</v>
      </c>
      <c r="K10" s="13" t="s">
        <v>1590</v>
      </c>
      <c r="L10" s="13" t="s">
        <v>1587</v>
      </c>
      <c r="M10" s="13" t="s">
        <v>1592</v>
      </c>
      <c r="N10" s="13" t="s">
        <v>1603</v>
      </c>
      <c r="O10" s="13" t="s">
        <v>1615</v>
      </c>
      <c r="P10" s="13" t="s">
        <v>1627</v>
      </c>
    </row>
    <row r="11" spans="1:16" ht="15" customHeight="1">
      <c r="A11" s="14">
        <v>10</v>
      </c>
      <c r="B11" s="14" t="s">
        <v>299</v>
      </c>
      <c r="C11" s="14" t="s">
        <v>1552</v>
      </c>
      <c r="D11" s="14" t="s">
        <v>1560</v>
      </c>
      <c r="E11" s="14" t="s">
        <v>1573</v>
      </c>
      <c r="F11" s="14" t="s">
        <v>1574</v>
      </c>
      <c r="G11" s="14" t="s">
        <v>1583</v>
      </c>
      <c r="H11" s="14" t="s">
        <v>1587</v>
      </c>
      <c r="I11" s="14" t="s">
        <v>1589</v>
      </c>
      <c r="J11" s="14" t="s">
        <v>1590</v>
      </c>
      <c r="K11" s="14" t="s">
        <v>1587</v>
      </c>
      <c r="L11" s="14" t="s">
        <v>1587</v>
      </c>
      <c r="M11" s="14" t="s">
        <v>1592</v>
      </c>
      <c r="N11" s="14" t="s">
        <v>1601</v>
      </c>
      <c r="O11" s="14" t="s">
        <v>1615</v>
      </c>
      <c r="P11" s="14" t="s">
        <v>1627</v>
      </c>
    </row>
    <row r="12" spans="1:16" ht="15" customHeight="1">
      <c r="A12" s="13">
        <v>11</v>
      </c>
      <c r="B12" s="13" t="s">
        <v>299</v>
      </c>
      <c r="C12" s="13" t="s">
        <v>1552</v>
      </c>
      <c r="D12" s="13" t="s">
        <v>1560</v>
      </c>
      <c r="E12" s="13" t="s">
        <v>1573</v>
      </c>
      <c r="F12" s="13" t="s">
        <v>1574</v>
      </c>
      <c r="G12" s="13" t="s">
        <v>1586</v>
      </c>
      <c r="H12" s="13" t="s">
        <v>1587</v>
      </c>
      <c r="I12" s="13" t="s">
        <v>1590</v>
      </c>
      <c r="J12" s="13" t="s">
        <v>1590</v>
      </c>
      <c r="K12" s="13" t="s">
        <v>1587</v>
      </c>
      <c r="L12" s="13" t="s">
        <v>1587</v>
      </c>
      <c r="M12" s="13" t="s">
        <v>1592</v>
      </c>
      <c r="N12" s="13" t="s">
        <v>1601</v>
      </c>
      <c r="O12" s="13" t="s">
        <v>1614</v>
      </c>
      <c r="P12" s="13" t="s">
        <v>1628</v>
      </c>
    </row>
    <row r="13" spans="1:16" ht="15" customHeight="1">
      <c r="A13" s="14">
        <v>12</v>
      </c>
      <c r="B13" s="14" t="s">
        <v>299</v>
      </c>
      <c r="C13" s="14" t="s">
        <v>1552</v>
      </c>
      <c r="D13" s="14" t="s">
        <v>1560</v>
      </c>
      <c r="E13" s="14" t="s">
        <v>1572</v>
      </c>
      <c r="F13" s="14" t="s">
        <v>1574</v>
      </c>
      <c r="G13" s="14" t="s">
        <v>1583</v>
      </c>
      <c r="H13" s="14" t="s">
        <v>1587</v>
      </c>
      <c r="I13" s="14" t="s">
        <v>1590</v>
      </c>
      <c r="J13" s="14" t="s">
        <v>1590</v>
      </c>
      <c r="K13" s="14" t="s">
        <v>1589</v>
      </c>
      <c r="L13" s="14" t="s">
        <v>1589</v>
      </c>
      <c r="M13" s="14" t="s">
        <v>1592</v>
      </c>
      <c r="N13" s="14" t="s">
        <v>1601</v>
      </c>
      <c r="O13" s="14" t="s">
        <v>1614</v>
      </c>
      <c r="P13" s="14" t="s">
        <v>1627</v>
      </c>
    </row>
    <row r="14" spans="1:16" ht="15" customHeight="1">
      <c r="A14" s="13">
        <v>13</v>
      </c>
      <c r="B14" s="13" t="s">
        <v>299</v>
      </c>
      <c r="C14" s="13" t="s">
        <v>1555</v>
      </c>
      <c r="D14" s="13" t="s">
        <v>1560</v>
      </c>
      <c r="E14" s="13" t="s">
        <v>1573</v>
      </c>
      <c r="F14" s="13" t="s">
        <v>1574</v>
      </c>
      <c r="G14" s="13" t="s">
        <v>1583</v>
      </c>
      <c r="H14" s="13" t="s">
        <v>1589</v>
      </c>
      <c r="I14" s="13" t="s">
        <v>1590</v>
      </c>
      <c r="J14" s="13" t="s">
        <v>1590</v>
      </c>
      <c r="K14" s="13" t="s">
        <v>1589</v>
      </c>
      <c r="L14" s="13" t="s">
        <v>1587</v>
      </c>
      <c r="M14" s="13" t="s">
        <v>1592</v>
      </c>
      <c r="N14" s="13" t="s">
        <v>1601</v>
      </c>
      <c r="O14" s="13" t="s">
        <v>1615</v>
      </c>
      <c r="P14" s="13" t="s">
        <v>1629</v>
      </c>
    </row>
    <row r="15" spans="1:16" ht="15" customHeight="1">
      <c r="A15" s="14">
        <v>14</v>
      </c>
      <c r="B15" s="14" t="s">
        <v>299</v>
      </c>
      <c r="C15" s="14" t="s">
        <v>1552</v>
      </c>
      <c r="D15" s="14" t="s">
        <v>1560</v>
      </c>
      <c r="E15" s="14" t="s">
        <v>1573</v>
      </c>
      <c r="F15" s="14" t="s">
        <v>1574</v>
      </c>
      <c r="G15" s="14" t="s">
        <v>1585</v>
      </c>
      <c r="H15" s="14" t="s">
        <v>1589</v>
      </c>
      <c r="I15" s="14" t="s">
        <v>1589</v>
      </c>
      <c r="J15" s="14" t="s">
        <v>1589</v>
      </c>
      <c r="K15" s="14" t="s">
        <v>1587</v>
      </c>
      <c r="L15" s="14" t="s">
        <v>1587</v>
      </c>
      <c r="M15" s="14" t="s">
        <v>1592</v>
      </c>
      <c r="N15" s="14" t="s">
        <v>1601</v>
      </c>
      <c r="O15" s="14" t="s">
        <v>1615</v>
      </c>
      <c r="P15" s="14" t="s">
        <v>1628</v>
      </c>
    </row>
    <row r="16" spans="1:16" ht="15" customHeight="1">
      <c r="A16" s="13">
        <v>15</v>
      </c>
      <c r="B16" s="13" t="s">
        <v>299</v>
      </c>
      <c r="C16" s="13" t="s">
        <v>1552</v>
      </c>
      <c r="D16" s="13" t="s">
        <v>1560</v>
      </c>
      <c r="E16" s="13" t="s">
        <v>1572</v>
      </c>
      <c r="F16" s="13" t="s">
        <v>1574</v>
      </c>
      <c r="G16" s="13" t="s">
        <v>1583</v>
      </c>
      <c r="H16" s="13" t="s">
        <v>1587</v>
      </c>
      <c r="I16" s="13" t="s">
        <v>1590</v>
      </c>
      <c r="J16" s="13" t="s">
        <v>1590</v>
      </c>
      <c r="K16" s="13" t="s">
        <v>1589</v>
      </c>
      <c r="L16" s="13" t="s">
        <v>1587</v>
      </c>
      <c r="M16" s="13" t="s">
        <v>1592</v>
      </c>
      <c r="N16" s="13" t="s">
        <v>1601</v>
      </c>
      <c r="O16" s="13" t="s">
        <v>1615</v>
      </c>
      <c r="P16" s="13" t="s">
        <v>1627</v>
      </c>
    </row>
    <row r="17" spans="1:16" ht="15" customHeight="1">
      <c r="A17" s="14">
        <v>16</v>
      </c>
      <c r="B17" s="14" t="s">
        <v>299</v>
      </c>
      <c r="C17" s="14" t="s">
        <v>1552</v>
      </c>
      <c r="D17" s="14" t="s">
        <v>1560</v>
      </c>
      <c r="E17" s="14" t="s">
        <v>1572</v>
      </c>
      <c r="F17" s="14" t="s">
        <v>1576</v>
      </c>
      <c r="G17" s="14" t="s">
        <v>1586</v>
      </c>
      <c r="H17" s="14" t="s">
        <v>1587</v>
      </c>
      <c r="I17" s="14" t="s">
        <v>1589</v>
      </c>
      <c r="J17" s="14" t="s">
        <v>1590</v>
      </c>
      <c r="K17" s="14" t="s">
        <v>1587</v>
      </c>
      <c r="L17" s="14" t="s">
        <v>1587</v>
      </c>
      <c r="M17" s="14" t="s">
        <v>1595</v>
      </c>
      <c r="N17" s="14" t="s">
        <v>1601</v>
      </c>
      <c r="O17" s="14" t="s">
        <v>1615</v>
      </c>
      <c r="P17" s="14" t="s">
        <v>1627</v>
      </c>
    </row>
    <row r="18" spans="1:16" ht="15" customHeight="1">
      <c r="A18" s="13">
        <v>17</v>
      </c>
      <c r="B18" s="13" t="s">
        <v>299</v>
      </c>
      <c r="C18" s="13" t="s">
        <v>1555</v>
      </c>
      <c r="D18" s="13" t="s">
        <v>1560</v>
      </c>
      <c r="E18" s="13" t="s">
        <v>1573</v>
      </c>
      <c r="F18" s="13" t="s">
        <v>1576</v>
      </c>
      <c r="G18" s="13" t="s">
        <v>1585</v>
      </c>
      <c r="H18" s="13" t="s">
        <v>1587</v>
      </c>
      <c r="I18" s="13" t="s">
        <v>1589</v>
      </c>
      <c r="J18" s="13" t="s">
        <v>1590</v>
      </c>
      <c r="K18" s="13" t="s">
        <v>1587</v>
      </c>
      <c r="L18" s="13" t="s">
        <v>1587</v>
      </c>
      <c r="M18" s="13" t="s">
        <v>1595</v>
      </c>
      <c r="N18" s="13" t="s">
        <v>1601</v>
      </c>
      <c r="O18" s="13" t="s">
        <v>1615</v>
      </c>
      <c r="P18" s="13" t="s">
        <v>1626</v>
      </c>
    </row>
    <row r="19" spans="1:16" ht="15" customHeight="1">
      <c r="A19" s="14">
        <v>18</v>
      </c>
      <c r="B19" s="14" t="s">
        <v>299</v>
      </c>
      <c r="C19" s="14" t="s">
        <v>1552</v>
      </c>
      <c r="D19" s="14" t="s">
        <v>1560</v>
      </c>
      <c r="E19" s="14" t="s">
        <v>1573</v>
      </c>
      <c r="F19" s="14" t="s">
        <v>1574</v>
      </c>
      <c r="G19" s="14" t="s">
        <v>1583</v>
      </c>
      <c r="H19" s="14" t="s">
        <v>1587</v>
      </c>
      <c r="I19" s="14" t="s">
        <v>1590</v>
      </c>
      <c r="J19" s="14" t="s">
        <v>1589</v>
      </c>
      <c r="K19" s="14" t="s">
        <v>1587</v>
      </c>
      <c r="L19" s="14" t="s">
        <v>1587</v>
      </c>
      <c r="M19" s="14" t="s">
        <v>1592</v>
      </c>
      <c r="N19" s="14" t="s">
        <v>1601</v>
      </c>
      <c r="O19" s="14" t="s">
        <v>1614</v>
      </c>
      <c r="P19" s="14" t="s">
        <v>1628</v>
      </c>
    </row>
    <row r="20" spans="1:16" ht="15" customHeight="1">
      <c r="A20" s="13">
        <v>19</v>
      </c>
      <c r="B20" s="13" t="s">
        <v>299</v>
      </c>
      <c r="C20" s="13" t="s">
        <v>1552</v>
      </c>
      <c r="D20" s="13" t="s">
        <v>1560</v>
      </c>
      <c r="E20" s="13" t="s">
        <v>1573</v>
      </c>
      <c r="F20" s="13" t="s">
        <v>1574</v>
      </c>
      <c r="G20" s="13" t="s">
        <v>1585</v>
      </c>
      <c r="H20" s="13" t="s">
        <v>1587</v>
      </c>
      <c r="I20" s="13" t="s">
        <v>1590</v>
      </c>
      <c r="J20" s="13" t="s">
        <v>1590</v>
      </c>
      <c r="K20" s="13" t="s">
        <v>1587</v>
      </c>
      <c r="L20" s="13" t="s">
        <v>1587</v>
      </c>
      <c r="M20" s="13" t="s">
        <v>1592</v>
      </c>
      <c r="N20" s="13" t="s">
        <v>1601</v>
      </c>
      <c r="O20" s="13" t="s">
        <v>1615</v>
      </c>
      <c r="P20" s="13" t="s">
        <v>1628</v>
      </c>
    </row>
    <row r="21" spans="1:16" ht="15" customHeight="1">
      <c r="A21" s="14">
        <v>20</v>
      </c>
      <c r="B21" s="14" t="s">
        <v>299</v>
      </c>
      <c r="C21" s="14" t="s">
        <v>1552</v>
      </c>
      <c r="D21" s="14" t="s">
        <v>1560</v>
      </c>
      <c r="E21" s="14" t="s">
        <v>1572</v>
      </c>
      <c r="F21" s="14" t="s">
        <v>1574</v>
      </c>
      <c r="G21" s="14" t="s">
        <v>1583</v>
      </c>
      <c r="H21" s="14" t="s">
        <v>1587</v>
      </c>
      <c r="I21" s="14" t="s">
        <v>1590</v>
      </c>
      <c r="J21" s="14" t="s">
        <v>1590</v>
      </c>
      <c r="K21" s="14" t="s">
        <v>1587</v>
      </c>
      <c r="L21" s="14" t="s">
        <v>1587</v>
      </c>
      <c r="M21" s="14" t="s">
        <v>1592</v>
      </c>
      <c r="N21" s="14" t="s">
        <v>1601</v>
      </c>
      <c r="O21" s="14" t="s">
        <v>1614</v>
      </c>
      <c r="P21" s="14" t="s">
        <v>1627</v>
      </c>
    </row>
    <row r="22" spans="1:16" ht="15" customHeight="1">
      <c r="A22" s="13">
        <v>21</v>
      </c>
      <c r="B22" s="13" t="s">
        <v>299</v>
      </c>
      <c r="C22" s="13" t="s">
        <v>1552</v>
      </c>
      <c r="D22" s="13" t="s">
        <v>1560</v>
      </c>
      <c r="E22" s="13" t="s">
        <v>1573</v>
      </c>
      <c r="F22" s="13" t="s">
        <v>1574</v>
      </c>
      <c r="G22" s="13" t="s">
        <v>1585</v>
      </c>
      <c r="H22" s="13" t="s">
        <v>1589</v>
      </c>
      <c r="I22" s="13" t="s">
        <v>1589</v>
      </c>
      <c r="J22" s="13" t="s">
        <v>1590</v>
      </c>
      <c r="K22" s="13" t="s">
        <v>1587</v>
      </c>
      <c r="L22" s="13" t="s">
        <v>1587</v>
      </c>
      <c r="M22" s="13" t="s">
        <v>1592</v>
      </c>
      <c r="N22" s="13" t="s">
        <v>1601</v>
      </c>
      <c r="O22" s="13" t="s">
        <v>1610</v>
      </c>
      <c r="P22" s="13" t="s">
        <v>1627</v>
      </c>
    </row>
    <row r="23" spans="1:16" ht="15" customHeight="1">
      <c r="A23" s="14">
        <v>22</v>
      </c>
      <c r="B23" s="14" t="s">
        <v>299</v>
      </c>
      <c r="C23" s="14" t="s">
        <v>1552</v>
      </c>
      <c r="D23" s="14" t="s">
        <v>1560</v>
      </c>
      <c r="E23" s="14" t="s">
        <v>1572</v>
      </c>
      <c r="F23" s="14" t="s">
        <v>1574</v>
      </c>
      <c r="G23" s="14" t="s">
        <v>1585</v>
      </c>
      <c r="H23" s="14" t="s">
        <v>1587</v>
      </c>
      <c r="I23" s="14" t="s">
        <v>1589</v>
      </c>
      <c r="J23" s="14" t="s">
        <v>1589</v>
      </c>
      <c r="K23" s="14" t="s">
        <v>1589</v>
      </c>
      <c r="L23" s="14" t="s">
        <v>1587</v>
      </c>
      <c r="M23" s="14" t="s">
        <v>1592</v>
      </c>
      <c r="N23" s="14" t="s">
        <v>1603</v>
      </c>
      <c r="O23" s="14" t="s">
        <v>1614</v>
      </c>
      <c r="P23" s="14" t="s">
        <v>1628</v>
      </c>
    </row>
    <row r="24" spans="1:16" ht="15" customHeight="1">
      <c r="A24" s="13">
        <v>23</v>
      </c>
      <c r="B24" s="13" t="s">
        <v>299</v>
      </c>
      <c r="C24" s="13" t="s">
        <v>1552</v>
      </c>
      <c r="D24" s="13" t="s">
        <v>1560</v>
      </c>
      <c r="E24" s="13" t="s">
        <v>1572</v>
      </c>
      <c r="F24" s="13" t="s">
        <v>1574</v>
      </c>
      <c r="G24" s="13" t="s">
        <v>1585</v>
      </c>
      <c r="H24" s="13" t="s">
        <v>1587</v>
      </c>
      <c r="I24" s="13" t="s">
        <v>1589</v>
      </c>
      <c r="J24" s="13" t="s">
        <v>1590</v>
      </c>
      <c r="K24" s="13" t="s">
        <v>1589</v>
      </c>
      <c r="L24" s="13" t="s">
        <v>1590</v>
      </c>
      <c r="M24" s="13" t="s">
        <v>1592</v>
      </c>
      <c r="N24" s="13" t="s">
        <v>1601</v>
      </c>
      <c r="O24" s="13" t="s">
        <v>1614</v>
      </c>
      <c r="P24" s="13" t="s">
        <v>1628</v>
      </c>
    </row>
    <row r="25" spans="1:16" ht="15" customHeight="1">
      <c r="A25" s="14">
        <v>24</v>
      </c>
      <c r="B25" s="14" t="s">
        <v>299</v>
      </c>
      <c r="C25" s="14" t="s">
        <v>1552</v>
      </c>
      <c r="D25" s="14" t="s">
        <v>1560</v>
      </c>
      <c r="E25" s="14" t="s">
        <v>1572</v>
      </c>
      <c r="F25" s="14" t="s">
        <v>1574</v>
      </c>
      <c r="G25" s="14" t="s">
        <v>1583</v>
      </c>
      <c r="H25" s="14" t="s">
        <v>1589</v>
      </c>
      <c r="I25" s="14" t="s">
        <v>1590</v>
      </c>
      <c r="J25" s="14" t="s">
        <v>1590</v>
      </c>
      <c r="K25" s="14" t="s">
        <v>1589</v>
      </c>
      <c r="L25" s="14" t="s">
        <v>1587</v>
      </c>
      <c r="M25" s="14" t="s">
        <v>1592</v>
      </c>
      <c r="N25" s="14" t="s">
        <v>1603</v>
      </c>
      <c r="O25" s="14" t="s">
        <v>1613</v>
      </c>
      <c r="P25" s="14" t="s">
        <v>1627</v>
      </c>
    </row>
    <row r="26" spans="1:16" ht="15" customHeight="1">
      <c r="A26" s="13">
        <v>25</v>
      </c>
      <c r="B26" s="13" t="s">
        <v>299</v>
      </c>
      <c r="C26" s="13" t="s">
        <v>1552</v>
      </c>
      <c r="D26" s="13" t="s">
        <v>1560</v>
      </c>
      <c r="E26" s="13" t="s">
        <v>1572</v>
      </c>
      <c r="F26" s="13" t="s">
        <v>1576</v>
      </c>
      <c r="G26" s="13" t="s">
        <v>1585</v>
      </c>
      <c r="H26" s="13" t="s">
        <v>1587</v>
      </c>
      <c r="I26" s="13" t="s">
        <v>1590</v>
      </c>
      <c r="J26" s="13" t="s">
        <v>1590</v>
      </c>
      <c r="K26" s="13" t="s">
        <v>1589</v>
      </c>
      <c r="L26" s="13" t="s">
        <v>1587</v>
      </c>
      <c r="M26" s="13" t="s">
        <v>1592</v>
      </c>
      <c r="N26" s="13" t="s">
        <v>1601</v>
      </c>
      <c r="O26" s="13" t="s">
        <v>1614</v>
      </c>
      <c r="P26" s="13" t="s">
        <v>1627</v>
      </c>
    </row>
    <row r="27" spans="1:16" ht="15" customHeight="1">
      <c r="A27" s="14">
        <v>26</v>
      </c>
      <c r="B27" s="14" t="s">
        <v>299</v>
      </c>
      <c r="C27" s="14" t="s">
        <v>1552</v>
      </c>
      <c r="D27" s="14" t="s">
        <v>1560</v>
      </c>
      <c r="E27" s="14" t="s">
        <v>1573</v>
      </c>
      <c r="F27" s="14" t="s">
        <v>1574</v>
      </c>
      <c r="G27" s="14" t="s">
        <v>1585</v>
      </c>
      <c r="H27" s="14" t="s">
        <v>1587</v>
      </c>
      <c r="I27" s="14" t="s">
        <v>1589</v>
      </c>
      <c r="J27" s="14" t="s">
        <v>1590</v>
      </c>
      <c r="K27" s="14" t="s">
        <v>1587</v>
      </c>
      <c r="L27" s="14" t="s">
        <v>1587</v>
      </c>
      <c r="M27" s="14" t="s">
        <v>1592</v>
      </c>
      <c r="N27" s="14" t="s">
        <v>1601</v>
      </c>
      <c r="O27" s="14" t="s">
        <v>1614</v>
      </c>
      <c r="P27" s="14" t="s">
        <v>1626</v>
      </c>
    </row>
    <row r="28" spans="1:16" ht="15" customHeight="1">
      <c r="A28" s="13">
        <v>27</v>
      </c>
      <c r="B28" s="13" t="s">
        <v>299</v>
      </c>
      <c r="C28" s="13" t="s">
        <v>1552</v>
      </c>
      <c r="D28" s="13" t="s">
        <v>1560</v>
      </c>
      <c r="E28" s="13" t="s">
        <v>1573</v>
      </c>
      <c r="F28" s="13" t="s">
        <v>1574</v>
      </c>
      <c r="G28" s="13" t="s">
        <v>1583</v>
      </c>
      <c r="H28" s="13" t="s">
        <v>1587</v>
      </c>
      <c r="I28" s="13" t="s">
        <v>1587</v>
      </c>
      <c r="J28" s="13" t="s">
        <v>1587</v>
      </c>
      <c r="K28" s="13" t="s">
        <v>1589</v>
      </c>
      <c r="L28" s="13" t="s">
        <v>1587</v>
      </c>
      <c r="M28" s="13" t="s">
        <v>1592</v>
      </c>
      <c r="N28" s="13" t="s">
        <v>1601</v>
      </c>
      <c r="O28" s="13" t="s">
        <v>1614</v>
      </c>
      <c r="P28" s="13" t="s">
        <v>1627</v>
      </c>
    </row>
    <row r="29" spans="1:16" ht="15" customHeight="1">
      <c r="A29" s="14">
        <v>28</v>
      </c>
      <c r="B29" s="14" t="s">
        <v>299</v>
      </c>
      <c r="C29" s="14" t="s">
        <v>1552</v>
      </c>
      <c r="D29" s="14" t="s">
        <v>1560</v>
      </c>
      <c r="E29" s="14" t="s">
        <v>1573</v>
      </c>
      <c r="F29" s="14" t="s">
        <v>1574</v>
      </c>
      <c r="G29" s="14" t="s">
        <v>1583</v>
      </c>
      <c r="H29" s="14" t="s">
        <v>1589</v>
      </c>
      <c r="I29" s="14" t="s">
        <v>1589</v>
      </c>
      <c r="J29" s="14" t="s">
        <v>1590</v>
      </c>
      <c r="K29" s="14" t="s">
        <v>1587</v>
      </c>
      <c r="L29" s="14" t="s">
        <v>1589</v>
      </c>
      <c r="M29" s="14" t="s">
        <v>1592</v>
      </c>
      <c r="N29" s="14" t="s">
        <v>1601</v>
      </c>
      <c r="O29" s="14" t="s">
        <v>1614</v>
      </c>
      <c r="P29" s="14" t="s">
        <v>1628</v>
      </c>
    </row>
    <row r="30" spans="1:16" ht="15" customHeight="1">
      <c r="A30" s="13">
        <v>29</v>
      </c>
      <c r="B30" s="13" t="s">
        <v>299</v>
      </c>
      <c r="C30" s="13" t="s">
        <v>1552</v>
      </c>
      <c r="D30" s="13" t="s">
        <v>1560</v>
      </c>
      <c r="E30" s="13" t="s">
        <v>1573</v>
      </c>
      <c r="F30" s="13" t="s">
        <v>1574</v>
      </c>
      <c r="G30" s="13" t="s">
        <v>1583</v>
      </c>
      <c r="H30" s="13" t="s">
        <v>1587</v>
      </c>
      <c r="I30" s="13" t="s">
        <v>1589</v>
      </c>
      <c r="J30" s="13" t="s">
        <v>1590</v>
      </c>
      <c r="K30" s="13" t="s">
        <v>1587</v>
      </c>
      <c r="L30" s="13" t="s">
        <v>1587</v>
      </c>
      <c r="M30" s="13" t="s">
        <v>1595</v>
      </c>
      <c r="N30" s="13" t="s">
        <v>1601</v>
      </c>
      <c r="O30" s="13" t="s">
        <v>1614</v>
      </c>
      <c r="P30" s="13" t="s">
        <v>1627</v>
      </c>
    </row>
    <row r="31" spans="1:16" ht="15" customHeight="1">
      <c r="A31" s="14">
        <v>30</v>
      </c>
      <c r="B31" s="14" t="s">
        <v>299</v>
      </c>
      <c r="C31" s="14" t="s">
        <v>1555</v>
      </c>
      <c r="D31" s="14" t="s">
        <v>1560</v>
      </c>
      <c r="E31" s="14" t="s">
        <v>1572</v>
      </c>
      <c r="F31" s="14" t="s">
        <v>1574</v>
      </c>
      <c r="G31" s="14" t="s">
        <v>1583</v>
      </c>
      <c r="H31" s="14" t="s">
        <v>1587</v>
      </c>
      <c r="I31" s="14" t="s">
        <v>1589</v>
      </c>
      <c r="J31" s="14" t="s">
        <v>1589</v>
      </c>
      <c r="K31" s="14" t="s">
        <v>1587</v>
      </c>
      <c r="L31" s="14" t="s">
        <v>1587</v>
      </c>
      <c r="M31" s="14" t="s">
        <v>1592</v>
      </c>
      <c r="N31" s="14" t="s">
        <v>1601</v>
      </c>
      <c r="O31" s="14" t="s">
        <v>1615</v>
      </c>
      <c r="P31" s="14" t="s">
        <v>1627</v>
      </c>
    </row>
    <row r="32" spans="1:16" ht="15" customHeight="1">
      <c r="A32" s="13">
        <v>31</v>
      </c>
      <c r="B32" s="13" t="s">
        <v>299</v>
      </c>
      <c r="C32" s="13" t="s">
        <v>1552</v>
      </c>
      <c r="D32" s="13" t="s">
        <v>1560</v>
      </c>
      <c r="E32" s="13" t="s">
        <v>1572</v>
      </c>
      <c r="F32" s="13" t="s">
        <v>1574</v>
      </c>
      <c r="G32" s="13" t="s">
        <v>1583</v>
      </c>
      <c r="H32" s="13" t="s">
        <v>1587</v>
      </c>
      <c r="I32" s="13" t="s">
        <v>1589</v>
      </c>
      <c r="J32" s="13" t="s">
        <v>1589</v>
      </c>
      <c r="K32" s="13" t="s">
        <v>1587</v>
      </c>
      <c r="L32" s="13" t="s">
        <v>1587</v>
      </c>
      <c r="M32" s="13" t="s">
        <v>1592</v>
      </c>
      <c r="N32" s="13" t="s">
        <v>1603</v>
      </c>
      <c r="O32" s="13" t="s">
        <v>1614</v>
      </c>
      <c r="P32" s="13" t="s">
        <v>1628</v>
      </c>
    </row>
    <row r="33" spans="1:16" ht="15" customHeight="1">
      <c r="A33" s="14">
        <v>32</v>
      </c>
      <c r="B33" s="14" t="s">
        <v>299</v>
      </c>
      <c r="C33" s="14" t="s">
        <v>1552</v>
      </c>
      <c r="D33" s="14" t="s">
        <v>1560</v>
      </c>
      <c r="E33" s="14" t="s">
        <v>1571</v>
      </c>
      <c r="F33" s="14" t="s">
        <v>1574</v>
      </c>
      <c r="G33" s="14" t="s">
        <v>1585</v>
      </c>
      <c r="H33" s="14" t="s">
        <v>1587</v>
      </c>
      <c r="I33" s="14" t="s">
        <v>1587</v>
      </c>
      <c r="J33" s="14" t="s">
        <v>1589</v>
      </c>
      <c r="K33" s="14" t="s">
        <v>1589</v>
      </c>
      <c r="L33" s="14" t="s">
        <v>1589</v>
      </c>
      <c r="M33" s="14" t="s">
        <v>1592</v>
      </c>
      <c r="N33" s="14" t="s">
        <v>1601</v>
      </c>
      <c r="O33" s="14" t="s">
        <v>1614</v>
      </c>
      <c r="P33" s="14" t="s">
        <v>1626</v>
      </c>
    </row>
    <row r="34" spans="1:16" ht="15" customHeight="1">
      <c r="A34" s="13">
        <v>33</v>
      </c>
      <c r="B34" s="13" t="s">
        <v>299</v>
      </c>
      <c r="C34" s="13" t="s">
        <v>1552</v>
      </c>
      <c r="D34" s="13" t="s">
        <v>1560</v>
      </c>
      <c r="E34" s="13" t="s">
        <v>1573</v>
      </c>
      <c r="F34" s="13" t="s">
        <v>1574</v>
      </c>
      <c r="G34" s="13" t="s">
        <v>1585</v>
      </c>
      <c r="H34" s="13" t="s">
        <v>1587</v>
      </c>
      <c r="I34" s="13" t="s">
        <v>1589</v>
      </c>
      <c r="J34" s="13" t="s">
        <v>1590</v>
      </c>
      <c r="K34" s="13" t="s">
        <v>1589</v>
      </c>
      <c r="L34" s="13" t="s">
        <v>1587</v>
      </c>
      <c r="M34" s="13" t="s">
        <v>1592</v>
      </c>
      <c r="N34" s="13" t="s">
        <v>1601</v>
      </c>
      <c r="O34" s="13" t="s">
        <v>1615</v>
      </c>
      <c r="P34" s="13" t="s">
        <v>1627</v>
      </c>
    </row>
    <row r="35" spans="1:16" ht="15" customHeight="1">
      <c r="A35" s="14">
        <v>34</v>
      </c>
      <c r="B35" s="14" t="s">
        <v>299</v>
      </c>
      <c r="C35" s="14" t="s">
        <v>1552</v>
      </c>
      <c r="D35" s="14" t="s">
        <v>1560</v>
      </c>
      <c r="E35" s="14" t="s">
        <v>1573</v>
      </c>
      <c r="F35" s="14" t="s">
        <v>1574</v>
      </c>
      <c r="G35" s="14" t="s">
        <v>1586</v>
      </c>
      <c r="H35" s="14" t="s">
        <v>1587</v>
      </c>
      <c r="I35" s="14" t="s">
        <v>1589</v>
      </c>
      <c r="J35" s="14" t="s">
        <v>1590</v>
      </c>
      <c r="K35" s="14" t="s">
        <v>1590</v>
      </c>
      <c r="L35" s="14" t="s">
        <v>1587</v>
      </c>
      <c r="M35" s="14" t="s">
        <v>1592</v>
      </c>
      <c r="N35" s="14" t="s">
        <v>1601</v>
      </c>
      <c r="O35" s="14" t="s">
        <v>1614</v>
      </c>
      <c r="P35" s="14" t="s">
        <v>1628</v>
      </c>
    </row>
    <row r="36" spans="1:16" ht="15" customHeight="1">
      <c r="A36" s="13">
        <v>35</v>
      </c>
      <c r="B36" s="13" t="s">
        <v>299</v>
      </c>
      <c r="C36" s="13" t="s">
        <v>1552</v>
      </c>
      <c r="D36" s="13" t="s">
        <v>1560</v>
      </c>
      <c r="E36" s="13" t="s">
        <v>1571</v>
      </c>
      <c r="F36" s="13" t="s">
        <v>1574</v>
      </c>
      <c r="G36" s="13" t="s">
        <v>1585</v>
      </c>
      <c r="H36" s="13" t="s">
        <v>1587</v>
      </c>
      <c r="I36" s="13" t="s">
        <v>1590</v>
      </c>
      <c r="J36" s="13" t="s">
        <v>1589</v>
      </c>
      <c r="K36" s="13" t="s">
        <v>1589</v>
      </c>
      <c r="L36" s="13" t="s">
        <v>1587</v>
      </c>
      <c r="M36" s="13" t="s">
        <v>1592</v>
      </c>
      <c r="N36" s="13" t="s">
        <v>1601</v>
      </c>
      <c r="O36" s="13" t="s">
        <v>1614</v>
      </c>
      <c r="P36" s="13" t="s">
        <v>1627</v>
      </c>
    </row>
    <row r="37" spans="1:16" ht="15" customHeight="1">
      <c r="A37" s="14">
        <v>36</v>
      </c>
      <c r="B37" s="14" t="s">
        <v>299</v>
      </c>
      <c r="C37" s="14" t="s">
        <v>1552</v>
      </c>
      <c r="D37" s="14" t="s">
        <v>1560</v>
      </c>
      <c r="E37" s="14" t="s">
        <v>1572</v>
      </c>
      <c r="F37" s="14" t="s">
        <v>1574</v>
      </c>
      <c r="G37" s="14" t="s">
        <v>1585</v>
      </c>
      <c r="H37" s="14" t="s">
        <v>1587</v>
      </c>
      <c r="I37" s="14" t="s">
        <v>1589</v>
      </c>
      <c r="J37" s="14" t="s">
        <v>1590</v>
      </c>
      <c r="K37" s="14" t="s">
        <v>1587</v>
      </c>
      <c r="L37" s="14" t="s">
        <v>1587</v>
      </c>
      <c r="M37" s="14" t="s">
        <v>1592</v>
      </c>
      <c r="N37" s="14" t="s">
        <v>1601</v>
      </c>
      <c r="O37" s="14" t="s">
        <v>1614</v>
      </c>
      <c r="P37" s="14" t="s">
        <v>1626</v>
      </c>
    </row>
    <row r="38" spans="1:16" ht="15" customHeight="1">
      <c r="A38" s="13">
        <v>37</v>
      </c>
      <c r="B38" s="13" t="s">
        <v>299</v>
      </c>
      <c r="C38" s="13" t="s">
        <v>1552</v>
      </c>
      <c r="D38" s="13" t="s">
        <v>1560</v>
      </c>
      <c r="E38" s="13" t="s">
        <v>1572</v>
      </c>
      <c r="F38" s="13" t="s">
        <v>1574</v>
      </c>
      <c r="G38" s="13" t="s">
        <v>1583</v>
      </c>
      <c r="H38" s="13" t="s">
        <v>1587</v>
      </c>
      <c r="I38" s="13" t="s">
        <v>1589</v>
      </c>
      <c r="J38" s="13" t="s">
        <v>1589</v>
      </c>
      <c r="K38" s="13" t="s">
        <v>1587</v>
      </c>
      <c r="L38" s="13" t="s">
        <v>1587</v>
      </c>
      <c r="M38" s="13" t="s">
        <v>1592</v>
      </c>
      <c r="N38" s="13" t="s">
        <v>1601</v>
      </c>
      <c r="O38" s="13" t="s">
        <v>1614</v>
      </c>
      <c r="P38" s="13" t="s">
        <v>1627</v>
      </c>
    </row>
    <row r="39" spans="1:16" ht="15" customHeight="1">
      <c r="A39" s="14">
        <v>38</v>
      </c>
      <c r="B39" s="14" t="s">
        <v>299</v>
      </c>
      <c r="C39" s="14" t="s">
        <v>1556</v>
      </c>
      <c r="D39" s="14" t="s">
        <v>1560</v>
      </c>
      <c r="E39" s="14" t="s">
        <v>1573</v>
      </c>
      <c r="F39" s="14" t="s">
        <v>1574</v>
      </c>
      <c r="G39" s="14" t="s">
        <v>1583</v>
      </c>
      <c r="H39" s="14" t="s">
        <v>1587</v>
      </c>
      <c r="I39" s="14" t="s">
        <v>1590</v>
      </c>
      <c r="J39" s="14" t="s">
        <v>1590</v>
      </c>
      <c r="K39" s="14" t="s">
        <v>1589</v>
      </c>
      <c r="L39" s="14" t="s">
        <v>1587</v>
      </c>
      <c r="M39" s="14" t="s">
        <v>1592</v>
      </c>
      <c r="N39" s="14" t="s">
        <v>1601</v>
      </c>
      <c r="O39" s="14" t="s">
        <v>1614</v>
      </c>
      <c r="P39" s="14" t="s">
        <v>1627</v>
      </c>
    </row>
    <row r="40" spans="1:16" ht="15" customHeight="1">
      <c r="A40" s="13">
        <v>39</v>
      </c>
      <c r="B40" s="13" t="s">
        <v>299</v>
      </c>
      <c r="C40" s="13" t="s">
        <v>1552</v>
      </c>
      <c r="D40" s="13" t="s">
        <v>1560</v>
      </c>
      <c r="E40" s="13" t="s">
        <v>1572</v>
      </c>
      <c r="F40" s="13" t="s">
        <v>1574</v>
      </c>
      <c r="G40" s="13" t="s">
        <v>1583</v>
      </c>
      <c r="H40" s="13" t="s">
        <v>1589</v>
      </c>
      <c r="I40" s="13" t="s">
        <v>1590</v>
      </c>
      <c r="J40" s="13" t="s">
        <v>1589</v>
      </c>
      <c r="K40" s="13" t="s">
        <v>1589</v>
      </c>
      <c r="L40" s="13" t="s">
        <v>1589</v>
      </c>
      <c r="M40" s="13" t="s">
        <v>1592</v>
      </c>
      <c r="N40" s="13" t="s">
        <v>1601</v>
      </c>
      <c r="O40" s="13" t="s">
        <v>1615</v>
      </c>
      <c r="P40" s="13" t="s">
        <v>1626</v>
      </c>
    </row>
    <row r="41" spans="1:16" ht="15" customHeight="1">
      <c r="A41" s="14">
        <v>40</v>
      </c>
      <c r="B41" s="14" t="s">
        <v>299</v>
      </c>
      <c r="C41" s="14" t="s">
        <v>1555</v>
      </c>
      <c r="D41" s="14" t="s">
        <v>1560</v>
      </c>
      <c r="E41" s="14" t="s">
        <v>1571</v>
      </c>
      <c r="F41" s="14" t="s">
        <v>1574</v>
      </c>
      <c r="G41" s="14" t="s">
        <v>1585</v>
      </c>
      <c r="H41" s="14" t="s">
        <v>1587</v>
      </c>
      <c r="I41" s="14" t="s">
        <v>1590</v>
      </c>
      <c r="J41" s="14" t="s">
        <v>1590</v>
      </c>
      <c r="K41" s="14" t="s">
        <v>1587</v>
      </c>
      <c r="L41" s="14" t="s">
        <v>1587</v>
      </c>
      <c r="M41" s="14" t="s">
        <v>1592</v>
      </c>
      <c r="N41" s="14" t="s">
        <v>1603</v>
      </c>
      <c r="O41" s="14" t="s">
        <v>1614</v>
      </c>
      <c r="P41" s="14" t="s">
        <v>1626</v>
      </c>
    </row>
    <row r="42" spans="1:16" ht="15" customHeight="1">
      <c r="A42" s="13">
        <v>41</v>
      </c>
      <c r="B42" s="13" t="s">
        <v>299</v>
      </c>
      <c r="C42" s="13" t="s">
        <v>1552</v>
      </c>
      <c r="D42" s="13" t="s">
        <v>1560</v>
      </c>
      <c r="E42" s="13" t="s">
        <v>1572</v>
      </c>
      <c r="F42" s="13" t="s">
        <v>1574</v>
      </c>
      <c r="G42" s="13" t="s">
        <v>1586</v>
      </c>
      <c r="H42" s="13" t="s">
        <v>1589</v>
      </c>
      <c r="I42" s="13" t="s">
        <v>1590</v>
      </c>
      <c r="J42" s="13" t="s">
        <v>1590</v>
      </c>
      <c r="K42" s="13" t="s">
        <v>1587</v>
      </c>
      <c r="L42" s="13" t="s">
        <v>1589</v>
      </c>
      <c r="M42" s="13" t="s">
        <v>1592</v>
      </c>
      <c r="N42" s="13" t="s">
        <v>1601</v>
      </c>
      <c r="O42" s="13" t="s">
        <v>1614</v>
      </c>
      <c r="P42" s="13" t="s">
        <v>1626</v>
      </c>
    </row>
    <row r="43" spans="1:16" ht="15" customHeight="1">
      <c r="A43" s="14">
        <v>42</v>
      </c>
      <c r="B43" s="14" t="s">
        <v>299</v>
      </c>
      <c r="C43" s="14" t="s">
        <v>1555</v>
      </c>
      <c r="D43" s="14" t="s">
        <v>1560</v>
      </c>
      <c r="E43" s="14" t="s">
        <v>1573</v>
      </c>
      <c r="F43" s="14" t="s">
        <v>1576</v>
      </c>
      <c r="G43" s="14" t="s">
        <v>1583</v>
      </c>
      <c r="H43" s="14" t="s">
        <v>1587</v>
      </c>
      <c r="I43" s="14" t="s">
        <v>1589</v>
      </c>
      <c r="J43" s="14" t="s">
        <v>1590</v>
      </c>
      <c r="K43" s="14" t="s">
        <v>1589</v>
      </c>
      <c r="L43" s="14" t="s">
        <v>1587</v>
      </c>
      <c r="M43" s="14" t="s">
        <v>1597</v>
      </c>
      <c r="N43" s="14" t="s">
        <v>1603</v>
      </c>
      <c r="O43" s="14" t="s">
        <v>1614</v>
      </c>
      <c r="P43" s="14" t="s">
        <v>1627</v>
      </c>
    </row>
    <row r="44" spans="1:16" ht="15" customHeight="1">
      <c r="A44" s="13">
        <v>43</v>
      </c>
      <c r="B44" s="13" t="s">
        <v>299</v>
      </c>
      <c r="C44" s="13" t="s">
        <v>1556</v>
      </c>
      <c r="D44" s="13" t="s">
        <v>1560</v>
      </c>
      <c r="E44" s="13" t="s">
        <v>1573</v>
      </c>
      <c r="F44" s="13" t="s">
        <v>1574</v>
      </c>
      <c r="G44" s="13" t="s">
        <v>1581</v>
      </c>
      <c r="H44" s="13" t="s">
        <v>1587</v>
      </c>
      <c r="I44" s="13" t="s">
        <v>1590</v>
      </c>
      <c r="J44" s="13" t="s">
        <v>1590</v>
      </c>
      <c r="K44" s="13" t="s">
        <v>1589</v>
      </c>
      <c r="L44" s="13" t="s">
        <v>1587</v>
      </c>
      <c r="M44" s="13" t="s">
        <v>1592</v>
      </c>
      <c r="N44" s="13" t="s">
        <v>1603</v>
      </c>
      <c r="O44" s="13" t="s">
        <v>1615</v>
      </c>
      <c r="P44" s="13" t="s">
        <v>1627</v>
      </c>
    </row>
    <row r="45" spans="1:16" ht="15" customHeight="1">
      <c r="A45" s="14">
        <v>44</v>
      </c>
      <c r="B45" s="14" t="s">
        <v>299</v>
      </c>
      <c r="C45" s="14" t="s">
        <v>1552</v>
      </c>
      <c r="D45" s="14" t="s">
        <v>1560</v>
      </c>
      <c r="E45" s="14" t="s">
        <v>1573</v>
      </c>
      <c r="F45" s="14" t="s">
        <v>1574</v>
      </c>
      <c r="G45" s="14" t="s">
        <v>1585</v>
      </c>
      <c r="H45" s="14" t="s">
        <v>1587</v>
      </c>
      <c r="I45" s="14" t="s">
        <v>1589</v>
      </c>
      <c r="J45" s="14" t="s">
        <v>1589</v>
      </c>
      <c r="K45" s="14" t="s">
        <v>1587</v>
      </c>
      <c r="L45" s="14" t="s">
        <v>1587</v>
      </c>
      <c r="M45" s="14" t="s">
        <v>1592</v>
      </c>
      <c r="N45" s="14" t="s">
        <v>1601</v>
      </c>
      <c r="O45" s="14" t="s">
        <v>1614</v>
      </c>
      <c r="P45" s="14" t="s">
        <v>1628</v>
      </c>
    </row>
    <row r="46" spans="1:16" ht="15" customHeight="1">
      <c r="A46" s="13">
        <v>45</v>
      </c>
      <c r="B46" s="13" t="s">
        <v>299</v>
      </c>
      <c r="C46" s="13" t="s">
        <v>1552</v>
      </c>
      <c r="D46" s="13" t="s">
        <v>1560</v>
      </c>
      <c r="E46" s="13" t="s">
        <v>1572</v>
      </c>
      <c r="F46" s="13" t="s">
        <v>1574</v>
      </c>
      <c r="G46" s="13" t="s">
        <v>1581</v>
      </c>
      <c r="H46" s="13" t="s">
        <v>1587</v>
      </c>
      <c r="I46" s="13" t="s">
        <v>1590</v>
      </c>
      <c r="J46" s="13" t="s">
        <v>1590</v>
      </c>
      <c r="K46" s="13" t="s">
        <v>1587</v>
      </c>
      <c r="L46" s="13" t="s">
        <v>1589</v>
      </c>
      <c r="M46" s="13" t="s">
        <v>1595</v>
      </c>
      <c r="N46" s="13" t="s">
        <v>1601</v>
      </c>
      <c r="O46" s="13" t="s">
        <v>1614</v>
      </c>
      <c r="P46" s="13" t="s">
        <v>1627</v>
      </c>
    </row>
    <row r="47" spans="1:16" ht="15" customHeight="1">
      <c r="A47" s="14">
        <v>46</v>
      </c>
      <c r="B47" s="14" t="s">
        <v>299</v>
      </c>
      <c r="C47" s="14" t="s">
        <v>1552</v>
      </c>
      <c r="D47" s="14" t="s">
        <v>1560</v>
      </c>
      <c r="E47" s="14" t="s">
        <v>1573</v>
      </c>
      <c r="F47" s="14" t="s">
        <v>1574</v>
      </c>
      <c r="G47" s="14" t="s">
        <v>1583</v>
      </c>
      <c r="H47" s="14" t="s">
        <v>1587</v>
      </c>
      <c r="I47" s="14" t="s">
        <v>1590</v>
      </c>
      <c r="J47" s="14" t="s">
        <v>1590</v>
      </c>
      <c r="K47" s="14" t="s">
        <v>1587</v>
      </c>
      <c r="L47" s="14" t="s">
        <v>1587</v>
      </c>
      <c r="M47" s="14" t="s">
        <v>1592</v>
      </c>
      <c r="N47" s="14" t="s">
        <v>1601</v>
      </c>
      <c r="O47" s="14" t="s">
        <v>1614</v>
      </c>
      <c r="P47" s="14" t="s">
        <v>1627</v>
      </c>
    </row>
    <row r="48" spans="1:16" ht="15" customHeight="1">
      <c r="A48" s="13">
        <v>47</v>
      </c>
      <c r="B48" s="13" t="s">
        <v>299</v>
      </c>
      <c r="C48" s="13" t="s">
        <v>1555</v>
      </c>
      <c r="D48" s="13" t="s">
        <v>1560</v>
      </c>
      <c r="E48" s="13" t="s">
        <v>1572</v>
      </c>
      <c r="F48" s="13" t="s">
        <v>1574</v>
      </c>
      <c r="G48" s="13" t="s">
        <v>1586</v>
      </c>
      <c r="H48" s="13" t="s">
        <v>1587</v>
      </c>
      <c r="I48" s="13" t="s">
        <v>1590</v>
      </c>
      <c r="J48" s="13" t="s">
        <v>1590</v>
      </c>
      <c r="K48" s="13" t="s">
        <v>1587</v>
      </c>
      <c r="L48" s="13" t="s">
        <v>1587</v>
      </c>
      <c r="M48" s="13" t="s">
        <v>1592</v>
      </c>
      <c r="N48" s="13" t="s">
        <v>1603</v>
      </c>
      <c r="O48" s="13" t="s">
        <v>1615</v>
      </c>
      <c r="P48" s="13" t="s">
        <v>1627</v>
      </c>
    </row>
    <row r="49" spans="1:16" ht="15" customHeight="1">
      <c r="A49" s="14">
        <v>48</v>
      </c>
      <c r="B49" s="14" t="s">
        <v>299</v>
      </c>
      <c r="C49" s="14" t="s">
        <v>1552</v>
      </c>
      <c r="D49" s="14" t="s">
        <v>1560</v>
      </c>
      <c r="E49" s="14" t="s">
        <v>1573</v>
      </c>
      <c r="F49" s="14" t="s">
        <v>1574</v>
      </c>
      <c r="G49" s="14" t="s">
        <v>1585</v>
      </c>
      <c r="H49" s="14" t="s">
        <v>1587</v>
      </c>
      <c r="I49" s="14" t="s">
        <v>1589</v>
      </c>
      <c r="J49" s="14" t="s">
        <v>1589</v>
      </c>
      <c r="K49" s="14" t="s">
        <v>1590</v>
      </c>
      <c r="L49" s="14" t="s">
        <v>1587</v>
      </c>
      <c r="M49" s="14" t="s">
        <v>1597</v>
      </c>
      <c r="N49" s="14" t="s">
        <v>1606</v>
      </c>
      <c r="O49" s="14" t="s">
        <v>1613</v>
      </c>
      <c r="P49" s="14" t="s">
        <v>1627</v>
      </c>
    </row>
    <row r="50" spans="1:16" ht="15" customHeight="1">
      <c r="A50" s="13">
        <v>49</v>
      </c>
      <c r="B50" s="13" t="s">
        <v>299</v>
      </c>
      <c r="C50" s="13" t="s">
        <v>1552</v>
      </c>
      <c r="D50" s="13" t="s">
        <v>1560</v>
      </c>
      <c r="E50" s="13" t="s">
        <v>1571</v>
      </c>
      <c r="F50" s="13" t="s">
        <v>1574</v>
      </c>
      <c r="G50" s="13" t="s">
        <v>1585</v>
      </c>
      <c r="H50" s="13" t="s">
        <v>1587</v>
      </c>
      <c r="I50" s="13" t="s">
        <v>1590</v>
      </c>
      <c r="J50" s="13" t="s">
        <v>1589</v>
      </c>
      <c r="K50" s="13" t="s">
        <v>1589</v>
      </c>
      <c r="L50" s="13" t="s">
        <v>1587</v>
      </c>
      <c r="M50" s="13" t="s">
        <v>1592</v>
      </c>
      <c r="N50" s="13" t="s">
        <v>1601</v>
      </c>
      <c r="O50" s="13" t="s">
        <v>1614</v>
      </c>
      <c r="P50" s="13" t="s">
        <v>1627</v>
      </c>
    </row>
    <row r="51" spans="1:16" ht="15" customHeight="1">
      <c r="A51" s="14">
        <v>50</v>
      </c>
      <c r="B51" s="14" t="s">
        <v>299</v>
      </c>
      <c r="C51" s="14" t="s">
        <v>1555</v>
      </c>
      <c r="D51" s="14" t="s">
        <v>1560</v>
      </c>
      <c r="E51" s="14" t="s">
        <v>1571</v>
      </c>
      <c r="F51" s="14" t="s">
        <v>1574</v>
      </c>
      <c r="G51" s="14" t="s">
        <v>1583</v>
      </c>
      <c r="H51" s="14" t="s">
        <v>1587</v>
      </c>
      <c r="I51" s="14" t="s">
        <v>1590</v>
      </c>
      <c r="J51" s="14" t="s">
        <v>1590</v>
      </c>
      <c r="K51" s="14" t="s">
        <v>1587</v>
      </c>
      <c r="L51" s="14" t="s">
        <v>1587</v>
      </c>
      <c r="M51" s="14" t="s">
        <v>1595</v>
      </c>
      <c r="N51" s="14" t="s">
        <v>1601</v>
      </c>
      <c r="O51" s="14" t="s">
        <v>1614</v>
      </c>
      <c r="P51" s="14" t="s">
        <v>1627</v>
      </c>
    </row>
    <row r="52" spans="1:16" ht="15" customHeight="1">
      <c r="A52" s="13">
        <v>51</v>
      </c>
      <c r="B52" s="13" t="s">
        <v>299</v>
      </c>
      <c r="C52" s="13" t="s">
        <v>1552</v>
      </c>
      <c r="D52" s="13" t="s">
        <v>1560</v>
      </c>
      <c r="E52" s="13" t="s">
        <v>1573</v>
      </c>
      <c r="F52" s="13" t="s">
        <v>1574</v>
      </c>
      <c r="G52" s="13" t="s">
        <v>1585</v>
      </c>
      <c r="H52" s="13" t="s">
        <v>1587</v>
      </c>
      <c r="I52" s="13" t="s">
        <v>1589</v>
      </c>
      <c r="J52" s="13" t="s">
        <v>1590</v>
      </c>
      <c r="K52" s="13" t="s">
        <v>1589</v>
      </c>
      <c r="L52" s="13" t="s">
        <v>1587</v>
      </c>
      <c r="M52" s="13" t="s">
        <v>1595</v>
      </c>
      <c r="N52" s="13" t="s">
        <v>1605</v>
      </c>
      <c r="O52" s="13" t="s">
        <v>1615</v>
      </c>
      <c r="P52" s="13" t="s">
        <v>1626</v>
      </c>
    </row>
    <row r="53" spans="1:16" ht="15" customHeight="1">
      <c r="A53" s="14">
        <v>52</v>
      </c>
      <c r="B53" s="14" t="s">
        <v>299</v>
      </c>
      <c r="C53" s="14" t="s">
        <v>1552</v>
      </c>
      <c r="D53" s="14" t="s">
        <v>1560</v>
      </c>
      <c r="E53" s="14" t="s">
        <v>1572</v>
      </c>
      <c r="F53" s="14" t="s">
        <v>1574</v>
      </c>
      <c r="G53" s="14" t="s">
        <v>1583</v>
      </c>
      <c r="H53" s="14" t="s">
        <v>1587</v>
      </c>
      <c r="I53" s="14" t="s">
        <v>1590</v>
      </c>
      <c r="J53" s="14" t="s">
        <v>1590</v>
      </c>
      <c r="K53" s="14" t="s">
        <v>1589</v>
      </c>
      <c r="L53" s="14" t="s">
        <v>1587</v>
      </c>
      <c r="M53" s="14" t="s">
        <v>1592</v>
      </c>
      <c r="N53" s="14" t="s">
        <v>1606</v>
      </c>
      <c r="O53" s="14" t="s">
        <v>1615</v>
      </c>
      <c r="P53" s="14" t="s">
        <v>1629</v>
      </c>
    </row>
    <row r="54" spans="1:16" ht="15" customHeight="1">
      <c r="A54" s="13">
        <v>53</v>
      </c>
      <c r="B54" s="13" t="s">
        <v>299</v>
      </c>
      <c r="C54" s="13" t="s">
        <v>1552</v>
      </c>
      <c r="D54" s="13" t="s">
        <v>1560</v>
      </c>
      <c r="E54" s="13" t="s">
        <v>1573</v>
      </c>
      <c r="F54" s="13" t="s">
        <v>1574</v>
      </c>
      <c r="G54" s="13" t="s">
        <v>1586</v>
      </c>
      <c r="H54" s="13" t="s">
        <v>1587</v>
      </c>
      <c r="I54" s="13" t="s">
        <v>1590</v>
      </c>
      <c r="J54" s="13" t="s">
        <v>1590</v>
      </c>
      <c r="K54" s="13" t="s">
        <v>1587</v>
      </c>
      <c r="L54" s="13" t="s">
        <v>1587</v>
      </c>
      <c r="M54" s="13" t="s">
        <v>1592</v>
      </c>
      <c r="N54" s="13" t="s">
        <v>1601</v>
      </c>
      <c r="O54" s="13" t="s">
        <v>1615</v>
      </c>
      <c r="P54" s="13" t="s">
        <v>1627</v>
      </c>
    </row>
    <row r="55" spans="1:16" ht="15" customHeight="1">
      <c r="A55" s="14">
        <v>54</v>
      </c>
      <c r="B55" s="14" t="s">
        <v>299</v>
      </c>
      <c r="C55" s="14" t="s">
        <v>1552</v>
      </c>
      <c r="D55" s="14" t="s">
        <v>1560</v>
      </c>
      <c r="E55" s="14" t="s">
        <v>1572</v>
      </c>
      <c r="F55" s="14" t="s">
        <v>1576</v>
      </c>
      <c r="G55" s="14" t="s">
        <v>1585</v>
      </c>
      <c r="H55" s="14" t="s">
        <v>1587</v>
      </c>
      <c r="I55" s="14" t="s">
        <v>1589</v>
      </c>
      <c r="J55" s="14" t="s">
        <v>1590</v>
      </c>
      <c r="K55" s="14" t="s">
        <v>1589</v>
      </c>
      <c r="L55" s="14" t="s">
        <v>1587</v>
      </c>
      <c r="M55" s="14" t="s">
        <v>1592</v>
      </c>
      <c r="N55" s="14" t="s">
        <v>1601</v>
      </c>
      <c r="O55" s="14" t="s">
        <v>1614</v>
      </c>
      <c r="P55" s="14" t="s">
        <v>1628</v>
      </c>
    </row>
    <row r="56" spans="1:16" ht="15" customHeight="1">
      <c r="A56" s="13">
        <v>55</v>
      </c>
      <c r="B56" s="13" t="s">
        <v>299</v>
      </c>
      <c r="C56" s="13" t="s">
        <v>1552</v>
      </c>
      <c r="D56" s="13" t="s">
        <v>1560</v>
      </c>
      <c r="E56" s="13" t="s">
        <v>1572</v>
      </c>
      <c r="F56" s="13" t="s">
        <v>1574</v>
      </c>
      <c r="G56" s="13" t="s">
        <v>1581</v>
      </c>
      <c r="H56" s="13" t="s">
        <v>1587</v>
      </c>
      <c r="I56" s="13" t="s">
        <v>1587</v>
      </c>
      <c r="J56" s="13" t="s">
        <v>1590</v>
      </c>
      <c r="K56" s="13" t="s">
        <v>1587</v>
      </c>
      <c r="L56" s="13" t="s">
        <v>1587</v>
      </c>
      <c r="M56" s="13" t="s">
        <v>1592</v>
      </c>
      <c r="N56" s="13" t="s">
        <v>1601</v>
      </c>
      <c r="O56" s="13" t="s">
        <v>1614</v>
      </c>
      <c r="P56" s="13" t="s">
        <v>1627</v>
      </c>
    </row>
    <row r="57" spans="1:16" ht="15" customHeight="1">
      <c r="A57" s="14">
        <v>56</v>
      </c>
      <c r="B57" s="14" t="s">
        <v>299</v>
      </c>
      <c r="C57" s="14" t="s">
        <v>1552</v>
      </c>
      <c r="D57" s="14" t="s">
        <v>1560</v>
      </c>
      <c r="E57" s="14" t="s">
        <v>1572</v>
      </c>
      <c r="F57" s="14" t="s">
        <v>1574</v>
      </c>
      <c r="G57" s="14" t="s">
        <v>1583</v>
      </c>
      <c r="H57" s="14" t="s">
        <v>1587</v>
      </c>
      <c r="I57" s="14" t="s">
        <v>1590</v>
      </c>
      <c r="J57" s="14" t="s">
        <v>1590</v>
      </c>
      <c r="K57" s="14" t="s">
        <v>1587</v>
      </c>
      <c r="L57" s="14" t="s">
        <v>1587</v>
      </c>
      <c r="M57" s="14" t="s">
        <v>1592</v>
      </c>
      <c r="N57" s="14" t="s">
        <v>1601</v>
      </c>
      <c r="O57" s="14" t="s">
        <v>1614</v>
      </c>
      <c r="P57" s="14" t="s">
        <v>1627</v>
      </c>
    </row>
    <row r="58" spans="1:16" ht="15" customHeight="1">
      <c r="A58" s="13">
        <v>57</v>
      </c>
      <c r="B58" s="13" t="s">
        <v>299</v>
      </c>
      <c r="C58" s="13" t="s">
        <v>1555</v>
      </c>
      <c r="D58" s="13" t="s">
        <v>1560</v>
      </c>
      <c r="E58" s="13" t="s">
        <v>1571</v>
      </c>
      <c r="F58" s="13" t="s">
        <v>1574</v>
      </c>
      <c r="G58" s="13" t="s">
        <v>1583</v>
      </c>
      <c r="H58" s="13" t="s">
        <v>1587</v>
      </c>
      <c r="I58" s="13" t="s">
        <v>1590</v>
      </c>
      <c r="J58" s="13" t="s">
        <v>1590</v>
      </c>
      <c r="K58" s="13" t="s">
        <v>1587</v>
      </c>
      <c r="L58" s="13" t="s">
        <v>1587</v>
      </c>
      <c r="M58" s="13" t="s">
        <v>1592</v>
      </c>
      <c r="N58" s="13" t="s">
        <v>1601</v>
      </c>
      <c r="O58" s="13" t="s">
        <v>1615</v>
      </c>
      <c r="P58" s="13" t="s">
        <v>1627</v>
      </c>
    </row>
    <row r="59" spans="1:16" ht="15" customHeight="1">
      <c r="A59" s="14">
        <v>58</v>
      </c>
      <c r="B59" s="14" t="s">
        <v>299</v>
      </c>
      <c r="C59" s="14" t="s">
        <v>1555</v>
      </c>
      <c r="D59" s="14" t="s">
        <v>1560</v>
      </c>
      <c r="E59" s="14" t="s">
        <v>1572</v>
      </c>
      <c r="F59" s="14" t="s">
        <v>1576</v>
      </c>
      <c r="G59" s="14" t="s">
        <v>1585</v>
      </c>
      <c r="H59" s="14" t="s">
        <v>1587</v>
      </c>
      <c r="I59" s="14" t="s">
        <v>1590</v>
      </c>
      <c r="J59" s="14" t="s">
        <v>1590</v>
      </c>
      <c r="K59" s="14" t="s">
        <v>1590</v>
      </c>
      <c r="L59" s="14" t="s">
        <v>1587</v>
      </c>
      <c r="M59" s="14" t="s">
        <v>1592</v>
      </c>
      <c r="N59" s="14" t="s">
        <v>1601</v>
      </c>
      <c r="O59" s="14" t="s">
        <v>1614</v>
      </c>
      <c r="P59" s="14" t="s">
        <v>1626</v>
      </c>
    </row>
    <row r="60" spans="1:16" ht="15" customHeight="1">
      <c r="A60" s="13">
        <v>59</v>
      </c>
      <c r="B60" s="13" t="s">
        <v>299</v>
      </c>
      <c r="C60" s="13" t="s">
        <v>1555</v>
      </c>
      <c r="D60" s="13" t="s">
        <v>1560</v>
      </c>
      <c r="E60" s="13" t="s">
        <v>1571</v>
      </c>
      <c r="F60" s="13" t="s">
        <v>1574</v>
      </c>
      <c r="G60" s="13" t="s">
        <v>1585</v>
      </c>
      <c r="H60" s="13" t="s">
        <v>1587</v>
      </c>
      <c r="I60" s="13" t="s">
        <v>1589</v>
      </c>
      <c r="J60" s="13" t="s">
        <v>1590</v>
      </c>
      <c r="K60" s="13" t="s">
        <v>1589</v>
      </c>
      <c r="L60" s="13" t="s">
        <v>1587</v>
      </c>
      <c r="M60" s="13" t="s">
        <v>1597</v>
      </c>
      <c r="N60" s="13" t="s">
        <v>1601</v>
      </c>
      <c r="O60" s="13" t="s">
        <v>1614</v>
      </c>
      <c r="P60" s="13" t="s">
        <v>1626</v>
      </c>
    </row>
    <row r="61" spans="1:16" ht="15" customHeight="1">
      <c r="A61" s="14">
        <v>60</v>
      </c>
      <c r="B61" s="14" t="s">
        <v>299</v>
      </c>
      <c r="C61" s="14" t="s">
        <v>1552</v>
      </c>
      <c r="D61" s="14" t="s">
        <v>1560</v>
      </c>
      <c r="E61" s="14" t="s">
        <v>1572</v>
      </c>
      <c r="F61" s="14" t="s">
        <v>1574</v>
      </c>
      <c r="G61" s="14" t="s">
        <v>1583</v>
      </c>
      <c r="H61" s="14" t="s">
        <v>1587</v>
      </c>
      <c r="I61" s="14" t="s">
        <v>1590</v>
      </c>
      <c r="J61" s="14" t="s">
        <v>1590</v>
      </c>
      <c r="K61" s="14" t="s">
        <v>1589</v>
      </c>
      <c r="L61" s="14" t="s">
        <v>1587</v>
      </c>
      <c r="M61" s="14" t="s">
        <v>1592</v>
      </c>
      <c r="N61" s="14" t="s">
        <v>1601</v>
      </c>
      <c r="O61" s="14" t="s">
        <v>1614</v>
      </c>
      <c r="P61" s="14" t="s">
        <v>1627</v>
      </c>
    </row>
    <row r="62" spans="1:16" ht="15" customHeight="1">
      <c r="A62" s="13">
        <v>61</v>
      </c>
      <c r="B62" s="13" t="s">
        <v>299</v>
      </c>
      <c r="C62" s="13" t="s">
        <v>1555</v>
      </c>
      <c r="D62" s="13" t="s">
        <v>1560</v>
      </c>
      <c r="E62" s="13" t="s">
        <v>1572</v>
      </c>
      <c r="F62" s="13" t="s">
        <v>1574</v>
      </c>
      <c r="G62" s="13" t="s">
        <v>1583</v>
      </c>
      <c r="H62" s="13" t="s">
        <v>1587</v>
      </c>
      <c r="I62" s="13" t="s">
        <v>1590</v>
      </c>
      <c r="J62" s="13" t="s">
        <v>1590</v>
      </c>
      <c r="K62" s="13" t="s">
        <v>1589</v>
      </c>
      <c r="L62" s="13" t="s">
        <v>1587</v>
      </c>
      <c r="M62" s="13" t="s">
        <v>1592</v>
      </c>
      <c r="N62" s="13" t="s">
        <v>1601</v>
      </c>
      <c r="O62" s="13" t="s">
        <v>1614</v>
      </c>
      <c r="P62" s="13" t="s">
        <v>1628</v>
      </c>
    </row>
    <row r="63" spans="1:16" ht="15" customHeight="1">
      <c r="A63" s="14">
        <v>62</v>
      </c>
      <c r="B63" s="14" t="s">
        <v>299</v>
      </c>
      <c r="C63" s="14" t="s">
        <v>1552</v>
      </c>
      <c r="D63" s="14" t="s">
        <v>1560</v>
      </c>
      <c r="E63" s="14" t="s">
        <v>1572</v>
      </c>
      <c r="F63" s="14" t="s">
        <v>1574</v>
      </c>
      <c r="G63" s="14" t="s">
        <v>1585</v>
      </c>
      <c r="H63" s="14" t="s">
        <v>1587</v>
      </c>
      <c r="I63" s="14" t="s">
        <v>1589</v>
      </c>
      <c r="J63" s="14" t="s">
        <v>1590</v>
      </c>
      <c r="K63" s="14" t="s">
        <v>1587</v>
      </c>
      <c r="L63" s="14" t="s">
        <v>1587</v>
      </c>
      <c r="M63" s="14" t="s">
        <v>1592</v>
      </c>
      <c r="N63" s="14" t="s">
        <v>1601</v>
      </c>
      <c r="O63" s="14" t="s">
        <v>1614</v>
      </c>
      <c r="P63" s="14" t="s">
        <v>1627</v>
      </c>
    </row>
    <row r="64" spans="1:16" ht="15" customHeight="1">
      <c r="A64" s="13">
        <v>63</v>
      </c>
      <c r="B64" s="13" t="s">
        <v>299</v>
      </c>
      <c r="C64" s="13" t="s">
        <v>1552</v>
      </c>
      <c r="D64" s="13" t="s">
        <v>1560</v>
      </c>
      <c r="E64" s="13" t="s">
        <v>1572</v>
      </c>
      <c r="F64" s="13" t="s">
        <v>1574</v>
      </c>
      <c r="G64" s="13" t="s">
        <v>1586</v>
      </c>
      <c r="H64" s="13" t="s">
        <v>1587</v>
      </c>
      <c r="I64" s="13" t="s">
        <v>1590</v>
      </c>
      <c r="J64" s="13" t="s">
        <v>1589</v>
      </c>
      <c r="K64" s="13" t="s">
        <v>1589</v>
      </c>
      <c r="L64" s="13" t="s">
        <v>1589</v>
      </c>
      <c r="M64" s="13" t="s">
        <v>1592</v>
      </c>
      <c r="N64" s="13" t="s">
        <v>1601</v>
      </c>
      <c r="O64" s="13" t="s">
        <v>1615</v>
      </c>
      <c r="P64" s="13" t="s">
        <v>1629</v>
      </c>
    </row>
    <row r="65" spans="1:16" ht="15" customHeight="1">
      <c r="A65" s="14">
        <v>64</v>
      </c>
      <c r="B65" s="14" t="s">
        <v>299</v>
      </c>
      <c r="C65" s="14" t="s">
        <v>1552</v>
      </c>
      <c r="D65" s="14" t="s">
        <v>1560</v>
      </c>
      <c r="E65" s="14" t="s">
        <v>1573</v>
      </c>
      <c r="F65" s="14" t="s">
        <v>1574</v>
      </c>
      <c r="G65" s="14" t="s">
        <v>1583</v>
      </c>
      <c r="H65" s="14" t="s">
        <v>1587</v>
      </c>
      <c r="I65" s="14" t="s">
        <v>1589</v>
      </c>
      <c r="J65" s="14" t="s">
        <v>1590</v>
      </c>
      <c r="K65" s="14" t="s">
        <v>1587</v>
      </c>
      <c r="L65" s="14" t="s">
        <v>1587</v>
      </c>
      <c r="M65" s="14" t="s">
        <v>1592</v>
      </c>
      <c r="N65" s="14" t="s">
        <v>1601</v>
      </c>
      <c r="O65" s="14" t="s">
        <v>1614</v>
      </c>
      <c r="P65" s="14" t="s">
        <v>1628</v>
      </c>
    </row>
    <row r="66" spans="1:16" ht="15" customHeight="1">
      <c r="A66" s="13">
        <v>65</v>
      </c>
      <c r="B66" s="13" t="s">
        <v>299</v>
      </c>
      <c r="C66" s="13" t="s">
        <v>1556</v>
      </c>
      <c r="D66" s="13" t="s">
        <v>1560</v>
      </c>
      <c r="E66" s="13" t="s">
        <v>1572</v>
      </c>
      <c r="F66" s="13" t="s">
        <v>1574</v>
      </c>
      <c r="G66" s="13" t="s">
        <v>1585</v>
      </c>
      <c r="H66" s="13" t="s">
        <v>1587</v>
      </c>
      <c r="I66" s="13" t="s">
        <v>1590</v>
      </c>
      <c r="J66" s="13" t="s">
        <v>1589</v>
      </c>
      <c r="K66" s="13" t="s">
        <v>1589</v>
      </c>
      <c r="L66" s="13" t="s">
        <v>1589</v>
      </c>
      <c r="M66" s="13" t="s">
        <v>1592</v>
      </c>
      <c r="N66" s="13" t="s">
        <v>1601</v>
      </c>
      <c r="O66" s="13" t="s">
        <v>1614</v>
      </c>
      <c r="P66" s="13" t="s">
        <v>1628</v>
      </c>
    </row>
    <row r="67" spans="1:16" ht="15" customHeight="1">
      <c r="A67" s="14">
        <v>66</v>
      </c>
      <c r="B67" s="14" t="s">
        <v>299</v>
      </c>
      <c r="C67" s="14" t="s">
        <v>1552</v>
      </c>
      <c r="D67" s="14" t="s">
        <v>1560</v>
      </c>
      <c r="E67" s="14" t="s">
        <v>1571</v>
      </c>
      <c r="F67" s="14" t="s">
        <v>1574</v>
      </c>
      <c r="G67" s="14" t="s">
        <v>1585</v>
      </c>
      <c r="H67" s="14" t="s">
        <v>1587</v>
      </c>
      <c r="I67" s="14" t="s">
        <v>1590</v>
      </c>
      <c r="J67" s="14" t="s">
        <v>1590</v>
      </c>
      <c r="K67" s="14" t="s">
        <v>1589</v>
      </c>
      <c r="L67" s="14" t="s">
        <v>1587</v>
      </c>
      <c r="M67" s="14" t="s">
        <v>1592</v>
      </c>
      <c r="N67" s="14" t="s">
        <v>1601</v>
      </c>
      <c r="O67" s="14" t="s">
        <v>1614</v>
      </c>
      <c r="P67" s="14" t="s">
        <v>1628</v>
      </c>
    </row>
    <row r="68" spans="1:16" ht="15" customHeight="1">
      <c r="A68" s="13">
        <v>67</v>
      </c>
      <c r="B68" s="13" t="s">
        <v>299</v>
      </c>
      <c r="C68" s="13" t="s">
        <v>1552</v>
      </c>
      <c r="D68" s="13" t="s">
        <v>1563</v>
      </c>
      <c r="E68" s="13" t="s">
        <v>1572</v>
      </c>
      <c r="F68" s="13" t="s">
        <v>1574</v>
      </c>
      <c r="G68" s="13" t="s">
        <v>1585</v>
      </c>
      <c r="H68" s="13" t="s">
        <v>1587</v>
      </c>
      <c r="I68" s="13" t="s">
        <v>1589</v>
      </c>
      <c r="J68" s="13" t="s">
        <v>1590</v>
      </c>
      <c r="K68" s="13" t="s">
        <v>1587</v>
      </c>
      <c r="L68" s="13" t="s">
        <v>1587</v>
      </c>
      <c r="M68" s="13" t="s">
        <v>1595</v>
      </c>
      <c r="N68" s="13" t="s">
        <v>1601</v>
      </c>
      <c r="O68" s="13" t="s">
        <v>1615</v>
      </c>
      <c r="P68" s="13" t="s">
        <v>1628</v>
      </c>
    </row>
    <row r="69" spans="1:16" ht="15" customHeight="1">
      <c r="A69" s="14">
        <v>68</v>
      </c>
      <c r="B69" s="14" t="s">
        <v>299</v>
      </c>
      <c r="C69" s="14" t="s">
        <v>1552</v>
      </c>
      <c r="D69" s="14" t="s">
        <v>1560</v>
      </c>
      <c r="E69" s="14" t="s">
        <v>1572</v>
      </c>
      <c r="F69" s="14" t="s">
        <v>1574</v>
      </c>
      <c r="G69" s="14" t="s">
        <v>1585</v>
      </c>
      <c r="H69" s="14" t="s">
        <v>1587</v>
      </c>
      <c r="I69" s="14" t="s">
        <v>1589</v>
      </c>
      <c r="J69" s="14" t="s">
        <v>1590</v>
      </c>
      <c r="K69" s="14" t="s">
        <v>1590</v>
      </c>
      <c r="L69" s="14" t="s">
        <v>1587</v>
      </c>
      <c r="M69" s="14" t="s">
        <v>1592</v>
      </c>
      <c r="N69" s="14" t="s">
        <v>1601</v>
      </c>
      <c r="O69" s="14" t="s">
        <v>1615</v>
      </c>
      <c r="P69" s="14" t="s">
        <v>1628</v>
      </c>
    </row>
    <row r="70" spans="1:16" ht="15" customHeight="1">
      <c r="A70" s="13">
        <v>69</v>
      </c>
      <c r="B70" s="13" t="s">
        <v>299</v>
      </c>
      <c r="C70" s="13" t="s">
        <v>1555</v>
      </c>
      <c r="D70" s="13" t="s">
        <v>1560</v>
      </c>
      <c r="E70" s="13" t="s">
        <v>1572</v>
      </c>
      <c r="F70" s="13" t="s">
        <v>1574</v>
      </c>
      <c r="G70" s="13" t="s">
        <v>1585</v>
      </c>
      <c r="H70" s="13" t="s">
        <v>1587</v>
      </c>
      <c r="I70" s="13" t="s">
        <v>1590</v>
      </c>
      <c r="J70" s="13" t="s">
        <v>1589</v>
      </c>
      <c r="K70" s="13" t="s">
        <v>1587</v>
      </c>
      <c r="L70" s="13" t="s">
        <v>1590</v>
      </c>
      <c r="M70" s="13" t="s">
        <v>1592</v>
      </c>
      <c r="N70" s="13" t="s">
        <v>1601</v>
      </c>
      <c r="O70" s="13" t="s">
        <v>1615</v>
      </c>
      <c r="P70" s="13" t="s">
        <v>1627</v>
      </c>
    </row>
    <row r="71" spans="1:16" ht="15" customHeight="1">
      <c r="A71" s="14">
        <v>70</v>
      </c>
      <c r="B71" s="14" t="s">
        <v>299</v>
      </c>
      <c r="C71" s="14" t="s">
        <v>1552</v>
      </c>
      <c r="D71" s="14" t="s">
        <v>1560</v>
      </c>
      <c r="E71" s="14" t="s">
        <v>1572</v>
      </c>
      <c r="F71" s="14" t="s">
        <v>1574</v>
      </c>
      <c r="G71" s="14" t="s">
        <v>1583</v>
      </c>
      <c r="H71" s="14" t="s">
        <v>1587</v>
      </c>
      <c r="I71" s="14" t="s">
        <v>1590</v>
      </c>
      <c r="J71" s="14" t="s">
        <v>1590</v>
      </c>
      <c r="K71" s="14" t="s">
        <v>1587</v>
      </c>
      <c r="L71" s="14" t="s">
        <v>1587</v>
      </c>
      <c r="M71" s="14" t="s">
        <v>1592</v>
      </c>
      <c r="N71" s="14" t="s">
        <v>1601</v>
      </c>
      <c r="O71" s="14" t="s">
        <v>1615</v>
      </c>
      <c r="P71" s="14" t="s">
        <v>1626</v>
      </c>
    </row>
    <row r="72" spans="1:16" ht="15" customHeight="1">
      <c r="A72" s="13">
        <v>71</v>
      </c>
      <c r="B72" s="13" t="s">
        <v>299</v>
      </c>
      <c r="C72" s="13" t="s">
        <v>1552</v>
      </c>
      <c r="D72" s="13" t="s">
        <v>1560</v>
      </c>
      <c r="E72" s="13" t="s">
        <v>1572</v>
      </c>
      <c r="F72" s="13" t="s">
        <v>1574</v>
      </c>
      <c r="G72" s="13" t="s">
        <v>1585</v>
      </c>
      <c r="H72" s="13" t="s">
        <v>1587</v>
      </c>
      <c r="I72" s="13" t="s">
        <v>1590</v>
      </c>
      <c r="J72" s="13" t="s">
        <v>1590</v>
      </c>
      <c r="K72" s="13" t="s">
        <v>1589</v>
      </c>
      <c r="L72" s="13" t="s">
        <v>1587</v>
      </c>
      <c r="M72" s="13" t="s">
        <v>1595</v>
      </c>
      <c r="N72" s="13" t="s">
        <v>1601</v>
      </c>
      <c r="O72" s="13" t="s">
        <v>1614</v>
      </c>
      <c r="P72" s="13" t="s">
        <v>1628</v>
      </c>
    </row>
    <row r="73" spans="1:16" ht="15" customHeight="1">
      <c r="A73" s="14">
        <v>72</v>
      </c>
      <c r="B73" s="14" t="s">
        <v>299</v>
      </c>
      <c r="C73" s="14" t="s">
        <v>1556</v>
      </c>
      <c r="D73" s="14" t="s">
        <v>1560</v>
      </c>
      <c r="E73" s="14" t="s">
        <v>1572</v>
      </c>
      <c r="F73" s="14" t="s">
        <v>1574</v>
      </c>
      <c r="G73" s="14" t="s">
        <v>1585</v>
      </c>
      <c r="H73" s="14" t="s">
        <v>1587</v>
      </c>
      <c r="I73" s="14" t="s">
        <v>1590</v>
      </c>
      <c r="J73" s="14" t="s">
        <v>1590</v>
      </c>
      <c r="K73" s="14" t="s">
        <v>1587</v>
      </c>
      <c r="L73" s="14" t="s">
        <v>1587</v>
      </c>
      <c r="M73" s="14" t="s">
        <v>1592</v>
      </c>
      <c r="N73" s="14" t="s">
        <v>1601</v>
      </c>
      <c r="O73" s="14" t="s">
        <v>1612</v>
      </c>
      <c r="P73" s="14" t="s">
        <v>1627</v>
      </c>
    </row>
    <row r="74" spans="1:16" ht="15" customHeight="1">
      <c r="A74" s="13">
        <v>73</v>
      </c>
      <c r="B74" s="13" t="s">
        <v>299</v>
      </c>
      <c r="C74" s="13" t="s">
        <v>1552</v>
      </c>
      <c r="D74" s="13" t="s">
        <v>1560</v>
      </c>
      <c r="E74" s="13" t="s">
        <v>1572</v>
      </c>
      <c r="F74" s="13" t="s">
        <v>1577</v>
      </c>
      <c r="G74" s="13" t="s">
        <v>1585</v>
      </c>
      <c r="H74" s="13" t="s">
        <v>1587</v>
      </c>
      <c r="I74" s="13" t="s">
        <v>1590</v>
      </c>
      <c r="J74" s="13" t="s">
        <v>1590</v>
      </c>
      <c r="K74" s="13" t="s">
        <v>1587</v>
      </c>
      <c r="L74" s="13" t="s">
        <v>1587</v>
      </c>
      <c r="M74" s="13" t="s">
        <v>1592</v>
      </c>
      <c r="N74" s="13" t="s">
        <v>1601</v>
      </c>
      <c r="O74" s="13" t="s">
        <v>1614</v>
      </c>
      <c r="P74" s="13" t="s">
        <v>1627</v>
      </c>
    </row>
    <row r="75" spans="1:16" ht="15" customHeight="1">
      <c r="A75" s="14">
        <v>74</v>
      </c>
      <c r="B75" s="14" t="s">
        <v>299</v>
      </c>
      <c r="C75" s="14" t="s">
        <v>1552</v>
      </c>
      <c r="D75" s="14" t="s">
        <v>1560</v>
      </c>
      <c r="E75" s="14" t="s">
        <v>1573</v>
      </c>
      <c r="F75" s="14" t="s">
        <v>1574</v>
      </c>
      <c r="G75" s="14" t="s">
        <v>1583</v>
      </c>
      <c r="H75" s="14" t="s">
        <v>1587</v>
      </c>
      <c r="I75" s="14" t="s">
        <v>1589</v>
      </c>
      <c r="J75" s="14" t="s">
        <v>1589</v>
      </c>
      <c r="K75" s="14" t="s">
        <v>1589</v>
      </c>
      <c r="L75" s="14" t="s">
        <v>1587</v>
      </c>
      <c r="M75" s="14" t="s">
        <v>1592</v>
      </c>
      <c r="N75" s="14" t="s">
        <v>1601</v>
      </c>
      <c r="O75" s="14" t="s">
        <v>1610</v>
      </c>
      <c r="P75" s="14" t="s">
        <v>1627</v>
      </c>
    </row>
    <row r="76" spans="1:16" ht="15" customHeight="1">
      <c r="A76" s="13">
        <v>75</v>
      </c>
      <c r="B76" s="13" t="s">
        <v>299</v>
      </c>
      <c r="C76" s="13" t="s">
        <v>1552</v>
      </c>
      <c r="D76" s="13" t="s">
        <v>1560</v>
      </c>
      <c r="E76" s="13" t="s">
        <v>1573</v>
      </c>
      <c r="F76" s="13" t="s">
        <v>1574</v>
      </c>
      <c r="G76" s="13" t="s">
        <v>1583</v>
      </c>
      <c r="H76" s="13" t="s">
        <v>1587</v>
      </c>
      <c r="I76" s="13" t="s">
        <v>1589</v>
      </c>
      <c r="J76" s="13" t="s">
        <v>1590</v>
      </c>
      <c r="K76" s="13" t="s">
        <v>1587</v>
      </c>
      <c r="L76" s="13" t="s">
        <v>1587</v>
      </c>
      <c r="M76" s="13" t="s">
        <v>1592</v>
      </c>
      <c r="N76" s="13" t="s">
        <v>1603</v>
      </c>
      <c r="O76" s="13" t="s">
        <v>1615</v>
      </c>
      <c r="P76" s="13" t="s">
        <v>1628</v>
      </c>
    </row>
    <row r="77" spans="1:16" ht="15" customHeight="1">
      <c r="A77" s="14">
        <v>76</v>
      </c>
      <c r="B77" s="14" t="s">
        <v>299</v>
      </c>
      <c r="C77" s="14" t="s">
        <v>1555</v>
      </c>
      <c r="D77" s="14" t="s">
        <v>1560</v>
      </c>
      <c r="E77" s="14" t="s">
        <v>1572</v>
      </c>
      <c r="F77" s="14" t="s">
        <v>1574</v>
      </c>
      <c r="G77" s="14" t="s">
        <v>1583</v>
      </c>
      <c r="H77" s="14" t="s">
        <v>1587</v>
      </c>
      <c r="I77" s="14" t="s">
        <v>1589</v>
      </c>
      <c r="J77" s="14" t="s">
        <v>1590</v>
      </c>
      <c r="K77" s="14" t="s">
        <v>1589</v>
      </c>
      <c r="L77" s="14" t="s">
        <v>1587</v>
      </c>
      <c r="M77" s="14" t="s">
        <v>1595</v>
      </c>
      <c r="N77" s="14" t="s">
        <v>1601</v>
      </c>
      <c r="O77" s="14" t="s">
        <v>1614</v>
      </c>
      <c r="P77" s="14" t="s">
        <v>1627</v>
      </c>
    </row>
    <row r="78" spans="1:16" ht="15" customHeight="1">
      <c r="A78" s="13">
        <v>77</v>
      </c>
      <c r="B78" s="13" t="s">
        <v>299</v>
      </c>
      <c r="C78" s="13" t="s">
        <v>1552</v>
      </c>
      <c r="D78" s="13" t="s">
        <v>1560</v>
      </c>
      <c r="E78" s="13" t="s">
        <v>1573</v>
      </c>
      <c r="F78" s="13" t="s">
        <v>1574</v>
      </c>
      <c r="G78" s="13" t="s">
        <v>1586</v>
      </c>
      <c r="H78" s="13" t="s">
        <v>1587</v>
      </c>
      <c r="I78" s="13" t="s">
        <v>1589</v>
      </c>
      <c r="J78" s="13" t="s">
        <v>1590</v>
      </c>
      <c r="K78" s="13" t="s">
        <v>1587</v>
      </c>
      <c r="L78" s="13" t="s">
        <v>1587</v>
      </c>
      <c r="M78" s="13" t="s">
        <v>1597</v>
      </c>
      <c r="N78" s="13" t="s">
        <v>1601</v>
      </c>
      <c r="O78" s="13" t="s">
        <v>1614</v>
      </c>
      <c r="P78" s="13" t="s">
        <v>1627</v>
      </c>
    </row>
    <row r="79" spans="1:16" ht="15" customHeight="1">
      <c r="A79" s="14">
        <v>78</v>
      </c>
      <c r="B79" s="14" t="s">
        <v>299</v>
      </c>
      <c r="C79" s="14" t="s">
        <v>1552</v>
      </c>
      <c r="D79" s="14" t="s">
        <v>1560</v>
      </c>
      <c r="E79" s="14" t="s">
        <v>1573</v>
      </c>
      <c r="F79" s="14" t="s">
        <v>1574</v>
      </c>
      <c r="G79" s="14" t="s">
        <v>1585</v>
      </c>
      <c r="H79" s="14" t="s">
        <v>1587</v>
      </c>
      <c r="I79" s="14" t="s">
        <v>1589</v>
      </c>
      <c r="J79" s="14" t="s">
        <v>1590</v>
      </c>
      <c r="K79" s="14" t="s">
        <v>1589</v>
      </c>
      <c r="L79" s="14" t="s">
        <v>1587</v>
      </c>
      <c r="M79" s="14" t="s">
        <v>1592</v>
      </c>
      <c r="N79" s="14" t="s">
        <v>1603</v>
      </c>
      <c r="O79" s="14" t="s">
        <v>1614</v>
      </c>
      <c r="P79" s="14" t="s">
        <v>1626</v>
      </c>
    </row>
    <row r="80" spans="1:16" ht="15" customHeight="1">
      <c r="A80" s="13">
        <v>79</v>
      </c>
      <c r="B80" s="13" t="s">
        <v>299</v>
      </c>
      <c r="C80" s="13" t="s">
        <v>1552</v>
      </c>
      <c r="D80" s="13" t="s">
        <v>1560</v>
      </c>
      <c r="E80" s="13" t="s">
        <v>1572</v>
      </c>
      <c r="F80" s="13" t="s">
        <v>1574</v>
      </c>
      <c r="G80" s="13" t="s">
        <v>1583</v>
      </c>
      <c r="H80" s="13" t="s">
        <v>1587</v>
      </c>
      <c r="I80" s="13" t="s">
        <v>1590</v>
      </c>
      <c r="J80" s="13" t="s">
        <v>1590</v>
      </c>
      <c r="K80" s="13" t="s">
        <v>1590</v>
      </c>
      <c r="L80" s="13" t="s">
        <v>1587</v>
      </c>
      <c r="M80" s="13" t="s">
        <v>1592</v>
      </c>
      <c r="N80" s="13" t="s">
        <v>1601</v>
      </c>
      <c r="O80" s="13" t="s">
        <v>1615</v>
      </c>
      <c r="P80" s="13" t="s">
        <v>1628</v>
      </c>
    </row>
    <row r="81" spans="1:16" ht="15" customHeight="1">
      <c r="A81" s="14">
        <v>80</v>
      </c>
      <c r="B81" s="14" t="s">
        <v>299</v>
      </c>
      <c r="C81" s="14" t="s">
        <v>1552</v>
      </c>
      <c r="D81" s="14" t="s">
        <v>1560</v>
      </c>
      <c r="E81" s="14" t="s">
        <v>1573</v>
      </c>
      <c r="F81" s="14" t="s">
        <v>1574</v>
      </c>
      <c r="G81" s="14" t="s">
        <v>1583</v>
      </c>
      <c r="H81" s="14" t="s">
        <v>1587</v>
      </c>
      <c r="I81" s="14" t="s">
        <v>1589</v>
      </c>
      <c r="J81" s="14" t="s">
        <v>1590</v>
      </c>
      <c r="K81" s="14" t="s">
        <v>1589</v>
      </c>
      <c r="L81" s="14" t="s">
        <v>1590</v>
      </c>
      <c r="M81" s="14" t="s">
        <v>1592</v>
      </c>
      <c r="N81" s="14" t="s">
        <v>1603</v>
      </c>
      <c r="O81" s="14" t="s">
        <v>1615</v>
      </c>
      <c r="P81" s="14" t="s">
        <v>1628</v>
      </c>
    </row>
    <row r="82" spans="1:16" ht="15" customHeight="1">
      <c r="A82" s="13">
        <v>81</v>
      </c>
      <c r="B82" s="13" t="s">
        <v>299</v>
      </c>
      <c r="C82" s="13" t="s">
        <v>1552</v>
      </c>
      <c r="D82" s="13" t="s">
        <v>1563</v>
      </c>
      <c r="E82" s="13" t="s">
        <v>1571</v>
      </c>
      <c r="F82" s="13" t="s">
        <v>1574</v>
      </c>
      <c r="G82" s="13" t="s">
        <v>1583</v>
      </c>
      <c r="H82" s="13" t="s">
        <v>1587</v>
      </c>
      <c r="I82" s="13" t="s">
        <v>1589</v>
      </c>
      <c r="J82" s="13" t="s">
        <v>1590</v>
      </c>
      <c r="K82" s="13" t="s">
        <v>1590</v>
      </c>
      <c r="L82" s="13" t="s">
        <v>1587</v>
      </c>
      <c r="M82" s="13" t="s">
        <v>1592</v>
      </c>
      <c r="N82" s="13" t="s">
        <v>1605</v>
      </c>
      <c r="O82" s="13" t="s">
        <v>1614</v>
      </c>
      <c r="P82" s="13" t="s">
        <v>1626</v>
      </c>
    </row>
    <row r="83" spans="1:16" ht="15" customHeight="1">
      <c r="A83" s="14">
        <v>82</v>
      </c>
      <c r="B83" s="14" t="s">
        <v>299</v>
      </c>
      <c r="C83" s="14" t="s">
        <v>1555</v>
      </c>
      <c r="D83" s="14" t="s">
        <v>1560</v>
      </c>
      <c r="E83" s="14" t="s">
        <v>1572</v>
      </c>
      <c r="F83" s="14" t="s">
        <v>1574</v>
      </c>
      <c r="G83" s="14" t="s">
        <v>1585</v>
      </c>
      <c r="H83" s="14" t="s">
        <v>1590</v>
      </c>
      <c r="I83" s="14" t="s">
        <v>1587</v>
      </c>
      <c r="J83" s="14" t="s">
        <v>1589</v>
      </c>
      <c r="K83" s="14" t="s">
        <v>1587</v>
      </c>
      <c r="L83" s="14" t="s">
        <v>1590</v>
      </c>
      <c r="M83" s="14" t="s">
        <v>1592</v>
      </c>
      <c r="N83" s="14" t="s">
        <v>1601</v>
      </c>
      <c r="O83" s="14" t="s">
        <v>1614</v>
      </c>
      <c r="P83" s="14" t="s">
        <v>1627</v>
      </c>
    </row>
    <row r="84" spans="1:16" ht="15" customHeight="1">
      <c r="A84" s="13">
        <v>83</v>
      </c>
      <c r="B84" s="13" t="s">
        <v>299</v>
      </c>
      <c r="C84" s="13" t="s">
        <v>1552</v>
      </c>
      <c r="D84" s="13" t="s">
        <v>1560</v>
      </c>
      <c r="E84" s="13" t="s">
        <v>1569</v>
      </c>
      <c r="F84" s="13" t="s">
        <v>1574</v>
      </c>
      <c r="G84" s="13" t="s">
        <v>1586</v>
      </c>
      <c r="H84" s="13" t="s">
        <v>1587</v>
      </c>
      <c r="I84" s="13" t="s">
        <v>1590</v>
      </c>
      <c r="J84" s="13" t="s">
        <v>1590</v>
      </c>
      <c r="K84" s="13" t="s">
        <v>1589</v>
      </c>
      <c r="L84" s="13" t="s">
        <v>1587</v>
      </c>
      <c r="M84" s="13" t="s">
        <v>1592</v>
      </c>
      <c r="N84" s="13" t="s">
        <v>1601</v>
      </c>
      <c r="O84" s="13" t="s">
        <v>1615</v>
      </c>
      <c r="P84" s="13" t="s">
        <v>1627</v>
      </c>
    </row>
    <row r="85" spans="1:16" ht="15" customHeight="1">
      <c r="A85" s="14">
        <v>84</v>
      </c>
      <c r="B85" s="14" t="s">
        <v>299</v>
      </c>
      <c r="C85" s="14" t="s">
        <v>1555</v>
      </c>
      <c r="D85" s="14" t="s">
        <v>1560</v>
      </c>
      <c r="E85" s="14" t="s">
        <v>1573</v>
      </c>
      <c r="F85" s="14" t="s">
        <v>1577</v>
      </c>
      <c r="G85" s="14" t="s">
        <v>1585</v>
      </c>
      <c r="H85" s="14" t="s">
        <v>1587</v>
      </c>
      <c r="I85" s="14" t="s">
        <v>1589</v>
      </c>
      <c r="J85" s="14" t="s">
        <v>1590</v>
      </c>
      <c r="K85" s="14" t="s">
        <v>1590</v>
      </c>
      <c r="L85" s="14" t="s">
        <v>1587</v>
      </c>
      <c r="M85" s="14" t="s">
        <v>1592</v>
      </c>
      <c r="N85" s="14" t="s">
        <v>1601</v>
      </c>
      <c r="O85" s="14" t="s">
        <v>1615</v>
      </c>
      <c r="P85" s="14" t="s">
        <v>1627</v>
      </c>
    </row>
    <row r="86" spans="1:16" ht="15" customHeight="1">
      <c r="A86" s="13">
        <v>85</v>
      </c>
      <c r="B86" s="13" t="s">
        <v>299</v>
      </c>
      <c r="C86" s="13" t="s">
        <v>1552</v>
      </c>
      <c r="D86" s="13" t="s">
        <v>1560</v>
      </c>
      <c r="E86" s="13" t="s">
        <v>1572</v>
      </c>
      <c r="F86" s="13" t="s">
        <v>1576</v>
      </c>
      <c r="G86" s="13" t="s">
        <v>1586</v>
      </c>
      <c r="H86" s="13" t="s">
        <v>1587</v>
      </c>
      <c r="I86" s="13" t="s">
        <v>1587</v>
      </c>
      <c r="J86" s="13" t="s">
        <v>1589</v>
      </c>
      <c r="K86" s="13" t="s">
        <v>1587</v>
      </c>
      <c r="L86" s="13" t="s">
        <v>1587</v>
      </c>
      <c r="M86" s="13" t="s">
        <v>1592</v>
      </c>
      <c r="N86" s="13" t="s">
        <v>1601</v>
      </c>
      <c r="O86" s="13" t="s">
        <v>1614</v>
      </c>
      <c r="P86" s="13" t="s">
        <v>1628</v>
      </c>
    </row>
    <row r="87" spans="1:16" ht="15" customHeight="1">
      <c r="A87" s="14">
        <v>86</v>
      </c>
      <c r="B87" s="14" t="s">
        <v>299</v>
      </c>
      <c r="C87" s="14" t="s">
        <v>1552</v>
      </c>
      <c r="D87" s="14" t="s">
        <v>1560</v>
      </c>
      <c r="E87" s="14" t="s">
        <v>1572</v>
      </c>
      <c r="F87" s="14" t="s">
        <v>1574</v>
      </c>
      <c r="G87" s="14" t="s">
        <v>1583</v>
      </c>
      <c r="H87" s="14" t="s">
        <v>1587</v>
      </c>
      <c r="I87" s="14" t="s">
        <v>1589</v>
      </c>
      <c r="J87" s="14" t="s">
        <v>1590</v>
      </c>
      <c r="K87" s="14" t="s">
        <v>1587</v>
      </c>
      <c r="L87" s="14" t="s">
        <v>1587</v>
      </c>
      <c r="M87" s="14" t="s">
        <v>1592</v>
      </c>
      <c r="N87" s="14" t="s">
        <v>1601</v>
      </c>
      <c r="O87" s="14" t="s">
        <v>1614</v>
      </c>
      <c r="P87" s="14" t="s">
        <v>1627</v>
      </c>
    </row>
    <row r="88" spans="1:16" ht="15" customHeight="1">
      <c r="A88" s="13">
        <v>87</v>
      </c>
      <c r="B88" s="13" t="s">
        <v>299</v>
      </c>
      <c r="C88" s="13" t="s">
        <v>1552</v>
      </c>
      <c r="D88" s="13" t="s">
        <v>1560</v>
      </c>
      <c r="E88" s="13" t="s">
        <v>1572</v>
      </c>
      <c r="F88" s="13" t="s">
        <v>1574</v>
      </c>
      <c r="G88" s="13" t="s">
        <v>1583</v>
      </c>
      <c r="H88" s="13" t="s">
        <v>1587</v>
      </c>
      <c r="I88" s="13" t="s">
        <v>1590</v>
      </c>
      <c r="J88" s="13" t="s">
        <v>1590</v>
      </c>
      <c r="K88" s="13" t="s">
        <v>1590</v>
      </c>
      <c r="L88" s="13" t="s">
        <v>1587</v>
      </c>
      <c r="M88" s="13" t="s">
        <v>1592</v>
      </c>
      <c r="N88" s="13" t="s">
        <v>1601</v>
      </c>
      <c r="O88" s="13" t="s">
        <v>1614</v>
      </c>
      <c r="P88" s="13" t="s">
        <v>1628</v>
      </c>
    </row>
    <row r="89" spans="1:16" ht="15" customHeight="1">
      <c r="A89" s="14">
        <v>88</v>
      </c>
      <c r="B89" s="14" t="s">
        <v>299</v>
      </c>
      <c r="C89" s="14" t="s">
        <v>1552</v>
      </c>
      <c r="D89" s="14" t="s">
        <v>1560</v>
      </c>
      <c r="E89" s="14" t="s">
        <v>1573</v>
      </c>
      <c r="F89" s="14" t="s">
        <v>1574</v>
      </c>
      <c r="G89" s="14" t="s">
        <v>1583</v>
      </c>
      <c r="H89" s="14" t="s">
        <v>1587</v>
      </c>
      <c r="I89" s="14" t="s">
        <v>1589</v>
      </c>
      <c r="J89" s="14" t="s">
        <v>1590</v>
      </c>
      <c r="K89" s="14" t="s">
        <v>1587</v>
      </c>
      <c r="L89" s="14" t="s">
        <v>1587</v>
      </c>
      <c r="M89" s="14" t="s">
        <v>1592</v>
      </c>
      <c r="N89" s="14" t="s">
        <v>1601</v>
      </c>
      <c r="O89" s="14" t="s">
        <v>1615</v>
      </c>
      <c r="P89" s="14" t="s">
        <v>1627</v>
      </c>
    </row>
    <row r="90" spans="1:16" ht="15" customHeight="1">
      <c r="A90" s="13">
        <v>89</v>
      </c>
      <c r="B90" s="13" t="s">
        <v>299</v>
      </c>
      <c r="C90" s="13" t="s">
        <v>1555</v>
      </c>
      <c r="D90" s="13" t="s">
        <v>1563</v>
      </c>
      <c r="E90" s="13" t="s">
        <v>1573</v>
      </c>
      <c r="F90" s="13" t="s">
        <v>1574</v>
      </c>
      <c r="G90" s="13" t="s">
        <v>1583</v>
      </c>
      <c r="H90" s="13" t="s">
        <v>1587</v>
      </c>
      <c r="I90" s="13" t="s">
        <v>1590</v>
      </c>
      <c r="J90" s="13" t="s">
        <v>1590</v>
      </c>
      <c r="K90" s="13" t="s">
        <v>1587</v>
      </c>
      <c r="L90" s="13" t="s">
        <v>1587</v>
      </c>
      <c r="M90" s="13" t="s">
        <v>1592</v>
      </c>
      <c r="N90" s="13" t="s">
        <v>1601</v>
      </c>
      <c r="O90" s="13" t="s">
        <v>1614</v>
      </c>
      <c r="P90" s="13" t="s">
        <v>1627</v>
      </c>
    </row>
    <row r="91" spans="1:16" ht="15" customHeight="1">
      <c r="A91" s="14">
        <v>90</v>
      </c>
      <c r="B91" s="14" t="s">
        <v>299</v>
      </c>
      <c r="C91" s="14" t="s">
        <v>1552</v>
      </c>
      <c r="D91" s="14" t="s">
        <v>1563</v>
      </c>
      <c r="E91" s="14" t="s">
        <v>1571</v>
      </c>
      <c r="F91" s="14" t="s">
        <v>1574</v>
      </c>
      <c r="G91" s="14" t="s">
        <v>1583</v>
      </c>
      <c r="H91" s="14" t="s">
        <v>1587</v>
      </c>
      <c r="I91" s="14" t="s">
        <v>1589</v>
      </c>
      <c r="J91" s="14" t="s">
        <v>1590</v>
      </c>
      <c r="K91" s="14" t="s">
        <v>1589</v>
      </c>
      <c r="L91" s="14" t="s">
        <v>1587</v>
      </c>
      <c r="M91" s="14" t="s">
        <v>1592</v>
      </c>
      <c r="N91" s="14" t="s">
        <v>1605</v>
      </c>
      <c r="O91" s="14" t="s">
        <v>1615</v>
      </c>
      <c r="P91" s="14" t="s">
        <v>1627</v>
      </c>
    </row>
    <row r="92" spans="1:16" ht="15" customHeight="1">
      <c r="A92" s="13">
        <v>91</v>
      </c>
      <c r="B92" s="13" t="s">
        <v>299</v>
      </c>
      <c r="C92" s="13" t="s">
        <v>1552</v>
      </c>
      <c r="D92" s="13" t="s">
        <v>1560</v>
      </c>
      <c r="E92" s="13" t="s">
        <v>1573</v>
      </c>
      <c r="F92" s="13" t="s">
        <v>1574</v>
      </c>
      <c r="G92" s="13" t="s">
        <v>1583</v>
      </c>
      <c r="H92" s="13" t="s">
        <v>1587</v>
      </c>
      <c r="I92" s="13" t="s">
        <v>1589</v>
      </c>
      <c r="J92" s="13" t="s">
        <v>1587</v>
      </c>
      <c r="K92" s="13" t="s">
        <v>1589</v>
      </c>
      <c r="L92" s="13" t="s">
        <v>1587</v>
      </c>
      <c r="M92" s="13" t="s">
        <v>1592</v>
      </c>
      <c r="N92" s="13" t="s">
        <v>1601</v>
      </c>
      <c r="O92" s="13" t="s">
        <v>1615</v>
      </c>
      <c r="P92" s="13" t="s">
        <v>1627</v>
      </c>
    </row>
    <row r="93" spans="1:16" ht="15" customHeight="1">
      <c r="A93" s="14">
        <v>92</v>
      </c>
      <c r="B93" s="14" t="s">
        <v>299</v>
      </c>
      <c r="C93" s="14" t="s">
        <v>1552</v>
      </c>
      <c r="D93" s="14" t="s">
        <v>1560</v>
      </c>
      <c r="E93" s="14" t="s">
        <v>1573</v>
      </c>
      <c r="F93" s="14" t="s">
        <v>1577</v>
      </c>
      <c r="G93" s="14" t="s">
        <v>1585</v>
      </c>
      <c r="H93" s="14" t="s">
        <v>1587</v>
      </c>
      <c r="I93" s="14" t="s">
        <v>1589</v>
      </c>
      <c r="J93" s="14" t="s">
        <v>1590</v>
      </c>
      <c r="K93" s="14" t="s">
        <v>1587</v>
      </c>
      <c r="L93" s="14" t="s">
        <v>1587</v>
      </c>
      <c r="M93" s="14" t="s">
        <v>1592</v>
      </c>
      <c r="N93" s="14" t="s">
        <v>1601</v>
      </c>
      <c r="O93" s="14" t="s">
        <v>1615</v>
      </c>
      <c r="P93" s="14" t="s">
        <v>1627</v>
      </c>
    </row>
    <row r="94" spans="1:16" ht="15" customHeight="1">
      <c r="A94" s="13">
        <v>93</v>
      </c>
      <c r="B94" s="13" t="s">
        <v>299</v>
      </c>
      <c r="C94" s="13" t="s">
        <v>1552</v>
      </c>
      <c r="D94" s="13" t="s">
        <v>1563</v>
      </c>
      <c r="E94" s="13" t="s">
        <v>1572</v>
      </c>
      <c r="F94" s="13" t="s">
        <v>1574</v>
      </c>
      <c r="G94" s="13" t="s">
        <v>1586</v>
      </c>
      <c r="H94" s="13" t="s">
        <v>1589</v>
      </c>
      <c r="I94" s="13" t="s">
        <v>1590</v>
      </c>
      <c r="J94" s="13" t="s">
        <v>1590</v>
      </c>
      <c r="K94" s="13" t="s">
        <v>1590</v>
      </c>
      <c r="L94" s="13" t="s">
        <v>1587</v>
      </c>
      <c r="M94" s="13" t="s">
        <v>1595</v>
      </c>
      <c r="N94" s="13" t="s">
        <v>1601</v>
      </c>
      <c r="O94" s="13" t="s">
        <v>1614</v>
      </c>
      <c r="P94" s="13" t="s">
        <v>1628</v>
      </c>
    </row>
    <row r="95" spans="1:16" ht="15" customHeight="1">
      <c r="A95" s="14">
        <v>94</v>
      </c>
      <c r="B95" s="14" t="s">
        <v>299</v>
      </c>
      <c r="C95" s="14" t="s">
        <v>1552</v>
      </c>
      <c r="D95" s="14" t="s">
        <v>1560</v>
      </c>
      <c r="E95" s="14" t="s">
        <v>1572</v>
      </c>
      <c r="F95" s="14" t="s">
        <v>1574</v>
      </c>
      <c r="G95" s="14" t="s">
        <v>1585</v>
      </c>
      <c r="H95" s="14" t="s">
        <v>1589</v>
      </c>
      <c r="I95" s="14" t="s">
        <v>1589</v>
      </c>
      <c r="J95" s="14" t="s">
        <v>1590</v>
      </c>
      <c r="K95" s="14" t="s">
        <v>1587</v>
      </c>
      <c r="L95" s="14" t="s">
        <v>1587</v>
      </c>
      <c r="M95" s="14" t="s">
        <v>1595</v>
      </c>
      <c r="N95" s="14" t="s">
        <v>1601</v>
      </c>
      <c r="O95" s="14" t="s">
        <v>1610</v>
      </c>
      <c r="P95" s="14" t="s">
        <v>1628</v>
      </c>
    </row>
    <row r="96" spans="1:16" ht="15" customHeight="1">
      <c r="A96" s="13">
        <v>95</v>
      </c>
      <c r="B96" s="13" t="s">
        <v>299</v>
      </c>
      <c r="C96" s="13" t="s">
        <v>1552</v>
      </c>
      <c r="D96" s="13" t="s">
        <v>1560</v>
      </c>
      <c r="E96" s="13" t="s">
        <v>1573</v>
      </c>
      <c r="F96" s="13" t="s">
        <v>1574</v>
      </c>
      <c r="G96" s="13" t="s">
        <v>1583</v>
      </c>
      <c r="H96" s="13" t="s">
        <v>1589</v>
      </c>
      <c r="I96" s="13" t="s">
        <v>1589</v>
      </c>
      <c r="J96" s="13" t="s">
        <v>1590</v>
      </c>
      <c r="K96" s="13" t="s">
        <v>1587</v>
      </c>
      <c r="L96" s="13" t="s">
        <v>1587</v>
      </c>
      <c r="M96" s="13" t="s">
        <v>1592</v>
      </c>
      <c r="N96" s="13" t="s">
        <v>1603</v>
      </c>
      <c r="O96" s="13" t="s">
        <v>1614</v>
      </c>
      <c r="P96" s="13" t="s">
        <v>1628</v>
      </c>
    </row>
    <row r="97" spans="1:16" ht="15" customHeight="1">
      <c r="A97" s="14">
        <v>96</v>
      </c>
      <c r="B97" s="14" t="s">
        <v>299</v>
      </c>
      <c r="C97" s="14" t="s">
        <v>1552</v>
      </c>
      <c r="D97" s="14" t="s">
        <v>1560</v>
      </c>
      <c r="E97" s="14" t="s">
        <v>1572</v>
      </c>
      <c r="F97" s="14" t="s">
        <v>1574</v>
      </c>
      <c r="G97" s="14" t="s">
        <v>1585</v>
      </c>
      <c r="H97" s="14" t="s">
        <v>1589</v>
      </c>
      <c r="I97" s="14" t="s">
        <v>1589</v>
      </c>
      <c r="J97" s="14" t="s">
        <v>1590</v>
      </c>
      <c r="K97" s="14" t="s">
        <v>1587</v>
      </c>
      <c r="L97" s="14" t="s">
        <v>1587</v>
      </c>
      <c r="M97" s="14" t="s">
        <v>1592</v>
      </c>
      <c r="N97" s="14" t="s">
        <v>1601</v>
      </c>
      <c r="O97" s="14" t="s">
        <v>1614</v>
      </c>
      <c r="P97" s="14" t="s">
        <v>1626</v>
      </c>
    </row>
    <row r="98" spans="1:16" ht="15" customHeight="1">
      <c r="A98" s="13">
        <v>97</v>
      </c>
      <c r="B98" s="13" t="s">
        <v>299</v>
      </c>
      <c r="C98" s="13" t="s">
        <v>1552</v>
      </c>
      <c r="D98" s="13" t="s">
        <v>1560</v>
      </c>
      <c r="E98" s="13" t="s">
        <v>1572</v>
      </c>
      <c r="F98" s="13" t="s">
        <v>1574</v>
      </c>
      <c r="G98" s="13" t="s">
        <v>1585</v>
      </c>
      <c r="H98" s="13" t="s">
        <v>1589</v>
      </c>
      <c r="I98" s="13" t="s">
        <v>1590</v>
      </c>
      <c r="J98" s="13" t="s">
        <v>1589</v>
      </c>
      <c r="K98" s="13" t="s">
        <v>1587</v>
      </c>
      <c r="L98" s="13" t="s">
        <v>1587</v>
      </c>
      <c r="M98" s="13" t="s">
        <v>1595</v>
      </c>
      <c r="N98" s="13" t="s">
        <v>1601</v>
      </c>
      <c r="O98" s="13" t="s">
        <v>1614</v>
      </c>
      <c r="P98" s="13" t="s">
        <v>1626</v>
      </c>
    </row>
    <row r="99" spans="1:16" ht="15" customHeight="1">
      <c r="A99" s="14">
        <v>98</v>
      </c>
      <c r="B99" s="14" t="s">
        <v>299</v>
      </c>
      <c r="C99" s="14" t="s">
        <v>1552</v>
      </c>
      <c r="D99" s="14" t="s">
        <v>1563</v>
      </c>
      <c r="E99" s="14" t="s">
        <v>1572</v>
      </c>
      <c r="F99" s="14" t="s">
        <v>1574</v>
      </c>
      <c r="G99" s="14" t="s">
        <v>1583</v>
      </c>
      <c r="H99" s="14" t="s">
        <v>1587</v>
      </c>
      <c r="I99" s="14" t="s">
        <v>1589</v>
      </c>
      <c r="J99" s="14" t="s">
        <v>1590</v>
      </c>
      <c r="K99" s="14" t="s">
        <v>1587</v>
      </c>
      <c r="L99" s="14" t="s">
        <v>1587</v>
      </c>
      <c r="M99" s="14" t="s">
        <v>1592</v>
      </c>
      <c r="N99" s="14" t="s">
        <v>1601</v>
      </c>
      <c r="O99" s="14" t="s">
        <v>1614</v>
      </c>
      <c r="P99" s="14" t="s">
        <v>1629</v>
      </c>
    </row>
    <row r="100" spans="1:16" ht="15" customHeight="1">
      <c r="A100" s="13">
        <v>99</v>
      </c>
      <c r="B100" s="13" t="s">
        <v>299</v>
      </c>
      <c r="C100" s="13" t="s">
        <v>1555</v>
      </c>
      <c r="D100" s="13" t="s">
        <v>1563</v>
      </c>
      <c r="E100" s="13" t="s">
        <v>1571</v>
      </c>
      <c r="F100" s="13" t="s">
        <v>1574</v>
      </c>
      <c r="G100" s="13" t="s">
        <v>1585</v>
      </c>
      <c r="H100" s="13" t="s">
        <v>1589</v>
      </c>
      <c r="I100" s="13" t="s">
        <v>1589</v>
      </c>
      <c r="J100" s="13" t="s">
        <v>1590</v>
      </c>
      <c r="K100" s="13" t="s">
        <v>1589</v>
      </c>
      <c r="L100" s="13" t="s">
        <v>1587</v>
      </c>
      <c r="M100" s="13" t="s">
        <v>1592</v>
      </c>
      <c r="N100" s="13" t="s">
        <v>1601</v>
      </c>
      <c r="O100" s="13" t="s">
        <v>1610</v>
      </c>
      <c r="P100" s="13" t="s">
        <v>1627</v>
      </c>
    </row>
    <row r="101" spans="1:16" ht="15" customHeight="1">
      <c r="A101" s="14">
        <v>100</v>
      </c>
      <c r="B101" s="14" t="s">
        <v>299</v>
      </c>
      <c r="C101" s="14" t="s">
        <v>1552</v>
      </c>
      <c r="D101" s="14" t="s">
        <v>1560</v>
      </c>
      <c r="E101" s="14" t="s">
        <v>1573</v>
      </c>
      <c r="F101" s="14" t="s">
        <v>1574</v>
      </c>
      <c r="G101" s="14" t="s">
        <v>1586</v>
      </c>
      <c r="H101" s="14" t="s">
        <v>1589</v>
      </c>
      <c r="I101" s="14" t="s">
        <v>1589</v>
      </c>
      <c r="J101" s="14" t="s">
        <v>1589</v>
      </c>
      <c r="K101" s="14" t="s">
        <v>1589</v>
      </c>
      <c r="L101" s="14" t="s">
        <v>1587</v>
      </c>
      <c r="M101" s="14" t="s">
        <v>1592</v>
      </c>
      <c r="N101" s="14" t="s">
        <v>1601</v>
      </c>
      <c r="O101" s="14" t="s">
        <v>1615</v>
      </c>
      <c r="P101" s="14" t="s">
        <v>1627</v>
      </c>
    </row>
    <row r="102" spans="1:16" ht="15" customHeight="1">
      <c r="A102" s="13">
        <v>101</v>
      </c>
      <c r="B102" s="13" t="s">
        <v>299</v>
      </c>
      <c r="C102" s="13" t="s">
        <v>1556</v>
      </c>
      <c r="D102" s="13" t="s">
        <v>1560</v>
      </c>
      <c r="E102" s="13" t="s">
        <v>1573</v>
      </c>
      <c r="F102" s="13" t="s">
        <v>1576</v>
      </c>
      <c r="G102" s="13" t="s">
        <v>1585</v>
      </c>
      <c r="H102" s="13" t="s">
        <v>1587</v>
      </c>
      <c r="I102" s="13" t="s">
        <v>1589</v>
      </c>
      <c r="J102" s="13" t="s">
        <v>1590</v>
      </c>
      <c r="K102" s="13" t="s">
        <v>1589</v>
      </c>
      <c r="L102" s="13" t="s">
        <v>1589</v>
      </c>
      <c r="M102" s="13" t="s">
        <v>1592</v>
      </c>
      <c r="N102" s="13" t="s">
        <v>1601</v>
      </c>
      <c r="O102" s="13" t="s">
        <v>1615</v>
      </c>
      <c r="P102" s="13" t="s">
        <v>1628</v>
      </c>
    </row>
    <row r="103" spans="1:16" ht="15" customHeight="1">
      <c r="A103" s="14">
        <v>102</v>
      </c>
      <c r="B103" s="14" t="s">
        <v>299</v>
      </c>
      <c r="C103" s="14" t="s">
        <v>1552</v>
      </c>
      <c r="D103" s="14" t="s">
        <v>1560</v>
      </c>
      <c r="E103" s="14" t="s">
        <v>1572</v>
      </c>
      <c r="F103" s="14" t="s">
        <v>1574</v>
      </c>
      <c r="G103" s="14" t="s">
        <v>1585</v>
      </c>
      <c r="H103" s="14" t="s">
        <v>1587</v>
      </c>
      <c r="I103" s="14" t="s">
        <v>1589</v>
      </c>
      <c r="J103" s="14" t="s">
        <v>1590</v>
      </c>
      <c r="K103" s="14" t="s">
        <v>1589</v>
      </c>
      <c r="L103" s="14" t="s">
        <v>1589</v>
      </c>
      <c r="M103" s="14" t="s">
        <v>1592</v>
      </c>
      <c r="N103" s="14" t="s">
        <v>1601</v>
      </c>
      <c r="O103" s="14" t="s">
        <v>1612</v>
      </c>
      <c r="P103" s="14" t="s">
        <v>1628</v>
      </c>
    </row>
    <row r="104" spans="1:16" ht="15" customHeight="1">
      <c r="A104" s="13">
        <v>103</v>
      </c>
      <c r="B104" s="13" t="s">
        <v>299</v>
      </c>
      <c r="C104" s="13" t="s">
        <v>1552</v>
      </c>
      <c r="D104" s="13" t="s">
        <v>1560</v>
      </c>
      <c r="E104" s="13" t="s">
        <v>1571</v>
      </c>
      <c r="F104" s="13" t="s">
        <v>1574</v>
      </c>
      <c r="G104" s="13" t="s">
        <v>1583</v>
      </c>
      <c r="H104" s="13" t="s">
        <v>1587</v>
      </c>
      <c r="I104" s="13" t="s">
        <v>1589</v>
      </c>
      <c r="J104" s="13" t="s">
        <v>1590</v>
      </c>
      <c r="K104" s="13" t="s">
        <v>1587</v>
      </c>
      <c r="L104" s="13" t="s">
        <v>1587</v>
      </c>
      <c r="M104" s="13" t="s">
        <v>1592</v>
      </c>
      <c r="N104" s="13" t="s">
        <v>1601</v>
      </c>
      <c r="O104" s="13" t="s">
        <v>1614</v>
      </c>
      <c r="P104" s="13" t="s">
        <v>1627</v>
      </c>
    </row>
    <row r="105" spans="1:16" ht="15" customHeight="1">
      <c r="A105" s="14">
        <v>104</v>
      </c>
      <c r="B105" s="14" t="s">
        <v>299</v>
      </c>
      <c r="C105" s="14" t="s">
        <v>1552</v>
      </c>
      <c r="D105" s="14" t="s">
        <v>1560</v>
      </c>
      <c r="E105" s="14" t="s">
        <v>1572</v>
      </c>
      <c r="F105" s="14" t="s">
        <v>1574</v>
      </c>
      <c r="G105" s="14" t="s">
        <v>1583</v>
      </c>
      <c r="H105" s="14" t="s">
        <v>1587</v>
      </c>
      <c r="I105" s="14" t="s">
        <v>1589</v>
      </c>
      <c r="J105" s="14" t="s">
        <v>1590</v>
      </c>
      <c r="K105" s="14" t="s">
        <v>1587</v>
      </c>
      <c r="L105" s="14" t="s">
        <v>1590</v>
      </c>
      <c r="M105" s="14" t="s">
        <v>1595</v>
      </c>
      <c r="N105" s="14" t="s">
        <v>1601</v>
      </c>
      <c r="O105" s="14" t="s">
        <v>1614</v>
      </c>
      <c r="P105" s="14" t="s">
        <v>1628</v>
      </c>
    </row>
    <row r="106" spans="1:16" ht="15" customHeight="1">
      <c r="A106" s="13">
        <v>105</v>
      </c>
      <c r="B106" s="13" t="s">
        <v>299</v>
      </c>
      <c r="C106" s="13" t="s">
        <v>1552</v>
      </c>
      <c r="D106" s="13" t="s">
        <v>1560</v>
      </c>
      <c r="E106" s="13" t="s">
        <v>1572</v>
      </c>
      <c r="F106" s="13" t="s">
        <v>1574</v>
      </c>
      <c r="G106" s="13" t="s">
        <v>1581</v>
      </c>
      <c r="H106" s="13" t="s">
        <v>1587</v>
      </c>
      <c r="I106" s="13" t="s">
        <v>1589</v>
      </c>
      <c r="J106" s="13" t="s">
        <v>1590</v>
      </c>
      <c r="K106" s="13" t="s">
        <v>1587</v>
      </c>
      <c r="L106" s="13" t="s">
        <v>1587</v>
      </c>
      <c r="M106" s="13" t="s">
        <v>1597</v>
      </c>
      <c r="N106" s="13" t="s">
        <v>1601</v>
      </c>
      <c r="O106" s="13" t="s">
        <v>1615</v>
      </c>
      <c r="P106" s="13" t="s">
        <v>1627</v>
      </c>
    </row>
    <row r="107" spans="1:16" ht="15" customHeight="1">
      <c r="A107" s="14">
        <v>106</v>
      </c>
      <c r="B107" s="14" t="s">
        <v>299</v>
      </c>
      <c r="C107" s="14" t="s">
        <v>1552</v>
      </c>
      <c r="D107" s="14" t="s">
        <v>1560</v>
      </c>
      <c r="E107" s="14" t="s">
        <v>1572</v>
      </c>
      <c r="F107" s="14" t="s">
        <v>1574</v>
      </c>
      <c r="G107" s="14" t="s">
        <v>1585</v>
      </c>
      <c r="H107" s="14" t="s">
        <v>1587</v>
      </c>
      <c r="I107" s="14" t="s">
        <v>1589</v>
      </c>
      <c r="J107" s="14" t="s">
        <v>1590</v>
      </c>
      <c r="K107" s="14" t="s">
        <v>1589</v>
      </c>
      <c r="L107" s="14" t="s">
        <v>1587</v>
      </c>
      <c r="M107" s="14" t="s">
        <v>1592</v>
      </c>
      <c r="N107" s="14" t="s">
        <v>1601</v>
      </c>
      <c r="O107" s="14" t="s">
        <v>1614</v>
      </c>
      <c r="P107" s="14" t="s">
        <v>1627</v>
      </c>
    </row>
    <row r="108" spans="1:16" ht="15" customHeight="1">
      <c r="A108" s="13">
        <v>107</v>
      </c>
      <c r="B108" s="13" t="s">
        <v>488</v>
      </c>
      <c r="C108" s="13" t="s">
        <v>1552</v>
      </c>
      <c r="D108" s="13" t="s">
        <v>1560</v>
      </c>
      <c r="E108" s="13" t="s">
        <v>1573</v>
      </c>
      <c r="F108" s="13" t="s">
        <v>1574</v>
      </c>
      <c r="G108" s="13" t="s">
        <v>1585</v>
      </c>
      <c r="H108" s="13" t="s">
        <v>1587</v>
      </c>
      <c r="I108" s="13" t="s">
        <v>1589</v>
      </c>
      <c r="J108" s="13" t="s">
        <v>1590</v>
      </c>
      <c r="K108" s="13" t="s">
        <v>1587</v>
      </c>
      <c r="L108" s="13" t="s">
        <v>1587</v>
      </c>
      <c r="M108" s="13" t="s">
        <v>1592</v>
      </c>
      <c r="N108" s="13" t="s">
        <v>1601</v>
      </c>
      <c r="O108" s="13" t="s">
        <v>1614</v>
      </c>
      <c r="P108" s="13" t="s">
        <v>1628</v>
      </c>
    </row>
    <row r="109" spans="1:16" ht="15" customHeight="1">
      <c r="A109" s="14">
        <v>108</v>
      </c>
      <c r="B109" s="14" t="s">
        <v>488</v>
      </c>
      <c r="C109" s="14" t="s">
        <v>1555</v>
      </c>
      <c r="D109" s="14" t="s">
        <v>1563</v>
      </c>
      <c r="E109" s="14" t="s">
        <v>1573</v>
      </c>
      <c r="F109" s="14" t="s">
        <v>1574</v>
      </c>
      <c r="G109" s="14" t="s">
        <v>1585</v>
      </c>
      <c r="H109" s="14" t="s">
        <v>1587</v>
      </c>
      <c r="I109" s="14" t="s">
        <v>1587</v>
      </c>
      <c r="J109" s="14" t="s">
        <v>1590</v>
      </c>
      <c r="K109" s="14" t="s">
        <v>1589</v>
      </c>
      <c r="L109" s="14" t="s">
        <v>1587</v>
      </c>
      <c r="M109" s="14" t="s">
        <v>1597</v>
      </c>
      <c r="N109" s="14" t="s">
        <v>1603</v>
      </c>
      <c r="O109" s="14" t="s">
        <v>1612</v>
      </c>
      <c r="P109" s="14" t="s">
        <v>1629</v>
      </c>
    </row>
    <row r="110" spans="1:16" ht="15" customHeight="1">
      <c r="A110" s="13">
        <v>109</v>
      </c>
      <c r="B110" s="13" t="s">
        <v>488</v>
      </c>
      <c r="C110" s="13" t="s">
        <v>1552</v>
      </c>
      <c r="D110" s="13" t="s">
        <v>1560</v>
      </c>
      <c r="E110" s="13" t="s">
        <v>1572</v>
      </c>
      <c r="F110" s="13" t="s">
        <v>1574</v>
      </c>
      <c r="G110" s="13" t="s">
        <v>1586</v>
      </c>
      <c r="H110" s="13" t="s">
        <v>1587</v>
      </c>
      <c r="I110" s="13" t="s">
        <v>1590</v>
      </c>
      <c r="J110" s="13" t="s">
        <v>1590</v>
      </c>
      <c r="K110" s="13" t="s">
        <v>1589</v>
      </c>
      <c r="L110" s="13" t="s">
        <v>1587</v>
      </c>
      <c r="M110" s="13" t="s">
        <v>1592</v>
      </c>
      <c r="N110" s="13" t="s">
        <v>1601</v>
      </c>
      <c r="O110" s="13" t="s">
        <v>1615</v>
      </c>
      <c r="P110" s="13" t="s">
        <v>1629</v>
      </c>
    </row>
    <row r="111" spans="1:16" ht="15" customHeight="1">
      <c r="A111" s="14">
        <v>110</v>
      </c>
      <c r="B111" s="14" t="s">
        <v>488</v>
      </c>
      <c r="C111" s="14" t="s">
        <v>1552</v>
      </c>
      <c r="D111" s="14" t="s">
        <v>1560</v>
      </c>
      <c r="E111" s="14" t="s">
        <v>1573</v>
      </c>
      <c r="F111" s="14" t="s">
        <v>1574</v>
      </c>
      <c r="G111" s="14" t="s">
        <v>1586</v>
      </c>
      <c r="H111" s="14" t="s">
        <v>1587</v>
      </c>
      <c r="I111" s="14" t="s">
        <v>1589</v>
      </c>
      <c r="J111" s="14" t="s">
        <v>1590</v>
      </c>
      <c r="K111" s="14" t="s">
        <v>1590</v>
      </c>
      <c r="L111" s="14" t="s">
        <v>1587</v>
      </c>
      <c r="M111" s="14" t="s">
        <v>1592</v>
      </c>
      <c r="N111" s="14" t="s">
        <v>1603</v>
      </c>
      <c r="O111" s="14" t="s">
        <v>1612</v>
      </c>
      <c r="P111" s="14" t="s">
        <v>1629</v>
      </c>
    </row>
    <row r="112" spans="1:16" ht="15" customHeight="1">
      <c r="A112" s="13">
        <v>111</v>
      </c>
      <c r="B112" s="13" t="s">
        <v>488</v>
      </c>
      <c r="C112" s="13" t="s">
        <v>1552</v>
      </c>
      <c r="D112" s="13" t="s">
        <v>1563</v>
      </c>
      <c r="E112" s="13" t="s">
        <v>1572</v>
      </c>
      <c r="F112" s="13" t="s">
        <v>1574</v>
      </c>
      <c r="G112" s="13" t="s">
        <v>1585</v>
      </c>
      <c r="H112" s="13" t="s">
        <v>1587</v>
      </c>
      <c r="I112" s="13" t="s">
        <v>1590</v>
      </c>
      <c r="J112" s="13" t="s">
        <v>1590</v>
      </c>
      <c r="K112" s="13" t="s">
        <v>1589</v>
      </c>
      <c r="L112" s="13" t="s">
        <v>1587</v>
      </c>
      <c r="M112" s="13" t="s">
        <v>1592</v>
      </c>
      <c r="N112" s="13" t="s">
        <v>1603</v>
      </c>
      <c r="O112" s="13" t="s">
        <v>1613</v>
      </c>
      <c r="P112" s="13" t="s">
        <v>1629</v>
      </c>
    </row>
    <row r="113" spans="1:16" ht="15" customHeight="1">
      <c r="A113" s="14">
        <v>112</v>
      </c>
      <c r="B113" s="14" t="s">
        <v>488</v>
      </c>
      <c r="C113" s="14" t="s">
        <v>1552</v>
      </c>
      <c r="D113" s="14" t="s">
        <v>1560</v>
      </c>
      <c r="E113" s="14" t="s">
        <v>1573</v>
      </c>
      <c r="F113" s="14" t="s">
        <v>1574</v>
      </c>
      <c r="G113" s="14" t="s">
        <v>1583</v>
      </c>
      <c r="H113" s="14" t="s">
        <v>1587</v>
      </c>
      <c r="I113" s="14" t="s">
        <v>1589</v>
      </c>
      <c r="J113" s="14" t="s">
        <v>1590</v>
      </c>
      <c r="K113" s="14" t="s">
        <v>1589</v>
      </c>
      <c r="L113" s="14" t="s">
        <v>1587</v>
      </c>
      <c r="M113" s="14" t="s">
        <v>1592</v>
      </c>
      <c r="N113" s="14" t="s">
        <v>1603</v>
      </c>
      <c r="O113" s="14" t="s">
        <v>1612</v>
      </c>
      <c r="P113" s="14" t="s">
        <v>1628</v>
      </c>
    </row>
    <row r="114" spans="1:16" ht="15" customHeight="1">
      <c r="A114" s="13">
        <v>113</v>
      </c>
      <c r="B114" s="13" t="s">
        <v>488</v>
      </c>
      <c r="C114" s="13" t="s">
        <v>1552</v>
      </c>
      <c r="D114" s="13" t="s">
        <v>1560</v>
      </c>
      <c r="E114" s="13" t="s">
        <v>1572</v>
      </c>
      <c r="F114" s="13" t="s">
        <v>1574</v>
      </c>
      <c r="G114" s="13" t="s">
        <v>1583</v>
      </c>
      <c r="H114" s="13" t="s">
        <v>1587</v>
      </c>
      <c r="I114" s="13" t="s">
        <v>1590</v>
      </c>
      <c r="J114" s="13" t="s">
        <v>1590</v>
      </c>
      <c r="K114" s="13" t="s">
        <v>1587</v>
      </c>
      <c r="L114" s="13" t="s">
        <v>1587</v>
      </c>
      <c r="M114" s="13" t="s">
        <v>1592</v>
      </c>
      <c r="N114" s="13" t="s">
        <v>1601</v>
      </c>
      <c r="O114" s="13" t="s">
        <v>1613</v>
      </c>
      <c r="P114" s="13" t="s">
        <v>1626</v>
      </c>
    </row>
    <row r="115" spans="1:16" ht="15" customHeight="1">
      <c r="A115" s="14">
        <v>114</v>
      </c>
      <c r="B115" s="14" t="s">
        <v>488</v>
      </c>
      <c r="C115" s="14" t="s">
        <v>1552</v>
      </c>
      <c r="D115" s="14" t="s">
        <v>1560</v>
      </c>
      <c r="E115" s="14" t="s">
        <v>1573</v>
      </c>
      <c r="F115" s="14" t="s">
        <v>1574</v>
      </c>
      <c r="G115" s="14" t="s">
        <v>1585</v>
      </c>
      <c r="H115" s="14" t="s">
        <v>1587</v>
      </c>
      <c r="I115" s="14" t="s">
        <v>1589</v>
      </c>
      <c r="J115" s="14" t="s">
        <v>1590</v>
      </c>
      <c r="K115" s="14" t="s">
        <v>1589</v>
      </c>
      <c r="L115" s="14" t="s">
        <v>1590</v>
      </c>
      <c r="M115" s="14" t="s">
        <v>1592</v>
      </c>
      <c r="N115" s="14" t="s">
        <v>1603</v>
      </c>
      <c r="O115" s="14" t="s">
        <v>1614</v>
      </c>
      <c r="P115" s="14" t="s">
        <v>1629</v>
      </c>
    </row>
    <row r="116" spans="1:16" ht="15" customHeight="1">
      <c r="A116" s="13">
        <v>115</v>
      </c>
      <c r="B116" s="13" t="s">
        <v>488</v>
      </c>
      <c r="C116" s="13" t="s">
        <v>1552</v>
      </c>
      <c r="D116" s="13" t="s">
        <v>1560</v>
      </c>
      <c r="E116" s="13" t="s">
        <v>1573</v>
      </c>
      <c r="F116" s="13" t="s">
        <v>1574</v>
      </c>
      <c r="G116" s="13" t="s">
        <v>1585</v>
      </c>
      <c r="H116" s="13" t="s">
        <v>1587</v>
      </c>
      <c r="I116" s="13" t="s">
        <v>1590</v>
      </c>
      <c r="J116" s="13" t="s">
        <v>1590</v>
      </c>
      <c r="K116" s="13" t="s">
        <v>1587</v>
      </c>
      <c r="L116" s="13" t="s">
        <v>1587</v>
      </c>
      <c r="M116" s="13" t="s">
        <v>1592</v>
      </c>
      <c r="N116" s="13" t="s">
        <v>1601</v>
      </c>
      <c r="O116" s="13" t="s">
        <v>1613</v>
      </c>
      <c r="P116" s="13" t="s">
        <v>1629</v>
      </c>
    </row>
    <row r="117" spans="1:16" ht="15" customHeight="1">
      <c r="A117" s="14">
        <v>116</v>
      </c>
      <c r="B117" s="14" t="s">
        <v>488</v>
      </c>
      <c r="C117" s="14" t="s">
        <v>1552</v>
      </c>
      <c r="D117" s="14" t="s">
        <v>1560</v>
      </c>
      <c r="E117" s="14" t="s">
        <v>1572</v>
      </c>
      <c r="F117" s="14" t="s">
        <v>1574</v>
      </c>
      <c r="G117" s="14" t="s">
        <v>1583</v>
      </c>
      <c r="H117" s="14" t="s">
        <v>1587</v>
      </c>
      <c r="I117" s="14" t="s">
        <v>1590</v>
      </c>
      <c r="J117" s="14" t="s">
        <v>1590</v>
      </c>
      <c r="K117" s="14" t="s">
        <v>1589</v>
      </c>
      <c r="L117" s="14" t="s">
        <v>1590</v>
      </c>
      <c r="M117" s="14" t="s">
        <v>1597</v>
      </c>
      <c r="N117" s="14" t="s">
        <v>1603</v>
      </c>
      <c r="O117" s="14" t="s">
        <v>1613</v>
      </c>
      <c r="P117" s="14" t="s">
        <v>1627</v>
      </c>
    </row>
    <row r="118" spans="1:16" ht="15" customHeight="1">
      <c r="A118" s="13">
        <v>117</v>
      </c>
      <c r="B118" s="13" t="s">
        <v>488</v>
      </c>
      <c r="C118" s="13" t="s">
        <v>1555</v>
      </c>
      <c r="D118" s="13" t="s">
        <v>1560</v>
      </c>
      <c r="E118" s="13" t="s">
        <v>1573</v>
      </c>
      <c r="F118" s="13" t="s">
        <v>1574</v>
      </c>
      <c r="G118" s="13" t="s">
        <v>1585</v>
      </c>
      <c r="H118" s="13" t="s">
        <v>1587</v>
      </c>
      <c r="I118" s="13" t="s">
        <v>1589</v>
      </c>
      <c r="J118" s="13" t="s">
        <v>1590</v>
      </c>
      <c r="K118" s="13" t="s">
        <v>1589</v>
      </c>
      <c r="L118" s="13" t="s">
        <v>1587</v>
      </c>
      <c r="M118" s="13" t="s">
        <v>1592</v>
      </c>
      <c r="N118" s="13" t="s">
        <v>1605</v>
      </c>
      <c r="O118" s="13" t="s">
        <v>1614</v>
      </c>
      <c r="P118" s="13" t="s">
        <v>1626</v>
      </c>
    </row>
    <row r="119" spans="1:16" ht="15" customHeight="1">
      <c r="A119" s="14">
        <v>118</v>
      </c>
      <c r="B119" s="14" t="s">
        <v>488</v>
      </c>
      <c r="C119" s="14" t="s">
        <v>1552</v>
      </c>
      <c r="D119" s="14" t="s">
        <v>1560</v>
      </c>
      <c r="E119" s="14" t="s">
        <v>1573</v>
      </c>
      <c r="F119" s="14" t="s">
        <v>1574</v>
      </c>
      <c r="G119" s="14" t="s">
        <v>1586</v>
      </c>
      <c r="H119" s="14" t="s">
        <v>1587</v>
      </c>
      <c r="I119" s="14" t="s">
        <v>1589</v>
      </c>
      <c r="J119" s="14" t="s">
        <v>1590</v>
      </c>
      <c r="K119" s="14" t="s">
        <v>1587</v>
      </c>
      <c r="L119" s="14" t="s">
        <v>1587</v>
      </c>
      <c r="M119" s="14" t="s">
        <v>1595</v>
      </c>
      <c r="N119" s="14" t="s">
        <v>1603</v>
      </c>
      <c r="O119" s="14" t="s">
        <v>1612</v>
      </c>
      <c r="P119" s="14" t="s">
        <v>1629</v>
      </c>
    </row>
    <row r="120" spans="1:16" ht="15" customHeight="1">
      <c r="A120" s="13">
        <v>119</v>
      </c>
      <c r="B120" s="13" t="s">
        <v>488</v>
      </c>
      <c r="C120" s="13" t="s">
        <v>1552</v>
      </c>
      <c r="D120" s="13" t="s">
        <v>1560</v>
      </c>
      <c r="E120" s="13" t="s">
        <v>1573</v>
      </c>
      <c r="F120" s="13" t="s">
        <v>1574</v>
      </c>
      <c r="G120" s="13" t="s">
        <v>1581</v>
      </c>
      <c r="H120" s="13" t="s">
        <v>1587</v>
      </c>
      <c r="I120" s="13" t="s">
        <v>1589</v>
      </c>
      <c r="J120" s="13" t="s">
        <v>1590</v>
      </c>
      <c r="K120" s="13" t="s">
        <v>1587</v>
      </c>
      <c r="L120" s="13" t="s">
        <v>1587</v>
      </c>
      <c r="M120" s="13" t="s">
        <v>1597</v>
      </c>
      <c r="N120" s="13" t="s">
        <v>1603</v>
      </c>
      <c r="O120" s="13" t="s">
        <v>1613</v>
      </c>
      <c r="P120" s="13" t="s">
        <v>1626</v>
      </c>
    </row>
    <row r="121" spans="1:16" ht="15" customHeight="1">
      <c r="A121" s="14">
        <v>120</v>
      </c>
      <c r="B121" s="14" t="s">
        <v>488</v>
      </c>
      <c r="C121" s="14" t="s">
        <v>1552</v>
      </c>
      <c r="D121" s="14" t="s">
        <v>1560</v>
      </c>
      <c r="E121" s="14" t="s">
        <v>1572</v>
      </c>
      <c r="F121" s="14" t="s">
        <v>1574</v>
      </c>
      <c r="G121" s="14" t="s">
        <v>1586</v>
      </c>
      <c r="H121" s="14" t="s">
        <v>1587</v>
      </c>
      <c r="I121" s="14" t="s">
        <v>1589</v>
      </c>
      <c r="J121" s="14" t="s">
        <v>1590</v>
      </c>
      <c r="K121" s="14" t="s">
        <v>1587</v>
      </c>
      <c r="L121" s="14" t="s">
        <v>1587</v>
      </c>
      <c r="M121" s="14" t="s">
        <v>1592</v>
      </c>
      <c r="N121" s="14" t="s">
        <v>1603</v>
      </c>
      <c r="O121" s="14" t="s">
        <v>1613</v>
      </c>
      <c r="P121" s="14" t="s">
        <v>1626</v>
      </c>
    </row>
    <row r="122" spans="1:16" ht="15" customHeight="1">
      <c r="A122" s="13">
        <v>121</v>
      </c>
      <c r="B122" s="13" t="s">
        <v>488</v>
      </c>
      <c r="C122" s="13" t="s">
        <v>1559</v>
      </c>
      <c r="D122" s="13" t="s">
        <v>1560</v>
      </c>
      <c r="E122" s="13" t="s">
        <v>1573</v>
      </c>
      <c r="F122" s="13" t="s">
        <v>1574</v>
      </c>
      <c r="G122" s="13" t="s">
        <v>1585</v>
      </c>
      <c r="H122" s="13" t="s">
        <v>1587</v>
      </c>
      <c r="I122" s="13" t="s">
        <v>1589</v>
      </c>
      <c r="J122" s="13" t="s">
        <v>1590</v>
      </c>
      <c r="K122" s="13" t="s">
        <v>1589</v>
      </c>
      <c r="L122" s="13" t="s">
        <v>1587</v>
      </c>
      <c r="M122" s="13" t="s">
        <v>1592</v>
      </c>
      <c r="N122" s="13" t="s">
        <v>1603</v>
      </c>
      <c r="O122" s="13" t="s">
        <v>1613</v>
      </c>
      <c r="P122" s="13" t="s">
        <v>1629</v>
      </c>
    </row>
    <row r="123" spans="1:16" ht="15" customHeight="1">
      <c r="A123" s="14">
        <v>122</v>
      </c>
      <c r="B123" s="14" t="s">
        <v>488</v>
      </c>
      <c r="C123" s="14" t="s">
        <v>1552</v>
      </c>
      <c r="D123" s="14" t="s">
        <v>1560</v>
      </c>
      <c r="E123" s="14" t="s">
        <v>1573</v>
      </c>
      <c r="F123" s="14" t="s">
        <v>1574</v>
      </c>
      <c r="G123" s="14" t="s">
        <v>1586</v>
      </c>
      <c r="H123" s="14" t="s">
        <v>1587</v>
      </c>
      <c r="I123" s="14" t="s">
        <v>1589</v>
      </c>
      <c r="J123" s="14" t="s">
        <v>1590</v>
      </c>
      <c r="K123" s="14" t="s">
        <v>1589</v>
      </c>
      <c r="L123" s="14" t="s">
        <v>1587</v>
      </c>
      <c r="M123" s="14" t="s">
        <v>1595</v>
      </c>
      <c r="N123" s="14" t="s">
        <v>1603</v>
      </c>
      <c r="O123" s="14" t="s">
        <v>1613</v>
      </c>
      <c r="P123" s="14" t="s">
        <v>1628</v>
      </c>
    </row>
    <row r="124" spans="1:16" ht="15" customHeight="1">
      <c r="A124" s="13">
        <v>123</v>
      </c>
      <c r="B124" s="13" t="s">
        <v>488</v>
      </c>
      <c r="C124" s="13" t="s">
        <v>1552</v>
      </c>
      <c r="D124" s="13" t="s">
        <v>1560</v>
      </c>
      <c r="E124" s="13" t="s">
        <v>1572</v>
      </c>
      <c r="F124" s="13" t="s">
        <v>1574</v>
      </c>
      <c r="G124" s="13" t="s">
        <v>1585</v>
      </c>
      <c r="H124" s="13" t="s">
        <v>1587</v>
      </c>
      <c r="I124" s="13" t="s">
        <v>1589</v>
      </c>
      <c r="J124" s="13" t="s">
        <v>1590</v>
      </c>
      <c r="K124" s="13" t="s">
        <v>1587</v>
      </c>
      <c r="L124" s="13" t="s">
        <v>1589</v>
      </c>
      <c r="M124" s="13" t="s">
        <v>1592</v>
      </c>
      <c r="N124" s="13" t="s">
        <v>1603</v>
      </c>
      <c r="O124" s="13" t="s">
        <v>1613</v>
      </c>
      <c r="P124" s="13" t="s">
        <v>1627</v>
      </c>
    </row>
    <row r="125" spans="1:16" ht="15" customHeight="1">
      <c r="A125" s="14">
        <v>124</v>
      </c>
      <c r="B125" s="14" t="s">
        <v>488</v>
      </c>
      <c r="C125" s="14" t="s">
        <v>1552</v>
      </c>
      <c r="D125" s="14" t="s">
        <v>1560</v>
      </c>
      <c r="E125" s="14" t="s">
        <v>1573</v>
      </c>
      <c r="F125" s="14" t="s">
        <v>1574</v>
      </c>
      <c r="G125" s="14" t="s">
        <v>1585</v>
      </c>
      <c r="H125" s="14" t="s">
        <v>1587</v>
      </c>
      <c r="I125" s="14" t="s">
        <v>1590</v>
      </c>
      <c r="J125" s="14" t="s">
        <v>1590</v>
      </c>
      <c r="K125" s="14" t="s">
        <v>1589</v>
      </c>
      <c r="L125" s="14" t="s">
        <v>1589</v>
      </c>
      <c r="M125" s="14" t="s">
        <v>1592</v>
      </c>
      <c r="N125" s="14" t="s">
        <v>1601</v>
      </c>
      <c r="O125" s="14" t="s">
        <v>1614</v>
      </c>
      <c r="P125" s="14" t="s">
        <v>1626</v>
      </c>
    </row>
    <row r="126" spans="1:16" ht="15" customHeight="1">
      <c r="A126" s="13">
        <v>125</v>
      </c>
      <c r="B126" s="13" t="s">
        <v>488</v>
      </c>
      <c r="C126" s="13" t="s">
        <v>1552</v>
      </c>
      <c r="D126" s="13" t="s">
        <v>1560</v>
      </c>
      <c r="E126" s="13" t="s">
        <v>1573</v>
      </c>
      <c r="F126" s="13" t="s">
        <v>1574</v>
      </c>
      <c r="G126" s="13" t="s">
        <v>1586</v>
      </c>
      <c r="H126" s="13" t="s">
        <v>1587</v>
      </c>
      <c r="I126" s="13" t="s">
        <v>1590</v>
      </c>
      <c r="J126" s="13" t="s">
        <v>1590</v>
      </c>
      <c r="K126" s="13" t="s">
        <v>1589</v>
      </c>
      <c r="L126" s="13" t="s">
        <v>1587</v>
      </c>
      <c r="M126" s="13" t="s">
        <v>1592</v>
      </c>
      <c r="N126" s="13" t="s">
        <v>1603</v>
      </c>
      <c r="O126" s="13" t="s">
        <v>1612</v>
      </c>
      <c r="P126" s="13" t="s">
        <v>1627</v>
      </c>
    </row>
    <row r="127" spans="1:16" ht="15" customHeight="1">
      <c r="A127" s="14">
        <v>126</v>
      </c>
      <c r="B127" s="14" t="s">
        <v>488</v>
      </c>
      <c r="C127" s="14" t="s">
        <v>1559</v>
      </c>
      <c r="D127" s="14" t="s">
        <v>1563</v>
      </c>
      <c r="E127" s="14" t="s">
        <v>1572</v>
      </c>
      <c r="F127" s="14" t="s">
        <v>1574</v>
      </c>
      <c r="G127" s="14" t="s">
        <v>1586</v>
      </c>
      <c r="H127" s="14" t="s">
        <v>1587</v>
      </c>
      <c r="I127" s="14" t="s">
        <v>1589</v>
      </c>
      <c r="J127" s="14" t="s">
        <v>1587</v>
      </c>
      <c r="K127" s="14" t="s">
        <v>1589</v>
      </c>
      <c r="L127" s="14" t="s">
        <v>1589</v>
      </c>
      <c r="M127" s="14" t="s">
        <v>1592</v>
      </c>
      <c r="N127" s="14" t="s">
        <v>1603</v>
      </c>
      <c r="O127" s="14" t="s">
        <v>1614</v>
      </c>
      <c r="P127" s="14" t="s">
        <v>1626</v>
      </c>
    </row>
    <row r="128" spans="1:16" ht="15" customHeight="1">
      <c r="A128" s="13">
        <v>127</v>
      </c>
      <c r="B128" s="13" t="s">
        <v>488</v>
      </c>
      <c r="C128" s="13" t="s">
        <v>1552</v>
      </c>
      <c r="D128" s="13" t="s">
        <v>1560</v>
      </c>
      <c r="E128" s="13" t="s">
        <v>1572</v>
      </c>
      <c r="F128" s="13" t="s">
        <v>1574</v>
      </c>
      <c r="G128" s="13" t="s">
        <v>1586</v>
      </c>
      <c r="H128" s="13" t="s">
        <v>1589</v>
      </c>
      <c r="I128" s="13" t="s">
        <v>1589</v>
      </c>
      <c r="J128" s="13" t="s">
        <v>1589</v>
      </c>
      <c r="K128" s="13" t="s">
        <v>1587</v>
      </c>
      <c r="L128" s="13" t="s">
        <v>1587</v>
      </c>
      <c r="M128" s="13" t="s">
        <v>1592</v>
      </c>
      <c r="N128" s="13" t="s">
        <v>1601</v>
      </c>
      <c r="O128" s="13" t="s">
        <v>1615</v>
      </c>
      <c r="P128" s="13" t="s">
        <v>1628</v>
      </c>
    </row>
    <row r="129" spans="1:16" ht="15" customHeight="1">
      <c r="A129" s="14">
        <v>128</v>
      </c>
      <c r="B129" s="14" t="s">
        <v>488</v>
      </c>
      <c r="C129" s="14" t="s">
        <v>1552</v>
      </c>
      <c r="D129" s="14" t="s">
        <v>1560</v>
      </c>
      <c r="E129" s="14" t="s">
        <v>1572</v>
      </c>
      <c r="F129" s="14" t="s">
        <v>1574</v>
      </c>
      <c r="G129" s="14" t="s">
        <v>1585</v>
      </c>
      <c r="H129" s="14" t="s">
        <v>1587</v>
      </c>
      <c r="I129" s="14" t="s">
        <v>1589</v>
      </c>
      <c r="J129" s="14" t="s">
        <v>1590</v>
      </c>
      <c r="K129" s="14" t="s">
        <v>1589</v>
      </c>
      <c r="L129" s="14" t="s">
        <v>1589</v>
      </c>
      <c r="M129" s="14" t="s">
        <v>1592</v>
      </c>
      <c r="N129" s="14" t="s">
        <v>1605</v>
      </c>
      <c r="O129" s="14" t="s">
        <v>1613</v>
      </c>
      <c r="P129" s="14" t="s">
        <v>1629</v>
      </c>
    </row>
    <row r="130" spans="1:16" ht="15" customHeight="1">
      <c r="A130" s="13">
        <v>129</v>
      </c>
      <c r="B130" s="13" t="s">
        <v>488</v>
      </c>
      <c r="C130" s="13" t="s">
        <v>1552</v>
      </c>
      <c r="D130" s="13" t="s">
        <v>1560</v>
      </c>
      <c r="E130" s="13" t="s">
        <v>1573</v>
      </c>
      <c r="F130" s="13" t="s">
        <v>1577</v>
      </c>
      <c r="G130" s="13" t="s">
        <v>1586</v>
      </c>
      <c r="H130" s="13" t="s">
        <v>1587</v>
      </c>
      <c r="I130" s="13" t="s">
        <v>1589</v>
      </c>
      <c r="J130" s="13" t="s">
        <v>1590</v>
      </c>
      <c r="K130" s="13" t="s">
        <v>1590</v>
      </c>
      <c r="L130" s="13" t="s">
        <v>1587</v>
      </c>
      <c r="M130" s="13" t="s">
        <v>1592</v>
      </c>
      <c r="N130" s="13" t="s">
        <v>1603</v>
      </c>
      <c r="O130" s="13" t="s">
        <v>1613</v>
      </c>
      <c r="P130" s="13" t="s">
        <v>1626</v>
      </c>
    </row>
    <row r="131" spans="1:16" ht="15" customHeight="1">
      <c r="A131" s="14">
        <v>130</v>
      </c>
      <c r="B131" s="14" t="s">
        <v>488</v>
      </c>
      <c r="C131" s="14" t="s">
        <v>1552</v>
      </c>
      <c r="D131" s="14" t="s">
        <v>1560</v>
      </c>
      <c r="E131" s="14" t="s">
        <v>1573</v>
      </c>
      <c r="F131" s="14" t="s">
        <v>1574</v>
      </c>
      <c r="G131" s="14" t="s">
        <v>1583</v>
      </c>
      <c r="H131" s="14" t="s">
        <v>1587</v>
      </c>
      <c r="I131" s="14" t="s">
        <v>1589</v>
      </c>
      <c r="J131" s="14" t="s">
        <v>1590</v>
      </c>
      <c r="K131" s="14" t="s">
        <v>1587</v>
      </c>
      <c r="L131" s="14" t="s">
        <v>1589</v>
      </c>
      <c r="M131" s="14" t="s">
        <v>1592</v>
      </c>
      <c r="N131" s="14" t="s">
        <v>1605</v>
      </c>
      <c r="O131" s="14" t="s">
        <v>1614</v>
      </c>
      <c r="P131" s="14" t="s">
        <v>1626</v>
      </c>
    </row>
    <row r="132" spans="1:16" ht="15" customHeight="1">
      <c r="A132" s="13">
        <v>131</v>
      </c>
      <c r="B132" s="13" t="s">
        <v>488</v>
      </c>
      <c r="C132" s="13" t="s">
        <v>1552</v>
      </c>
      <c r="D132" s="13" t="s">
        <v>1560</v>
      </c>
      <c r="E132" s="13" t="s">
        <v>1572</v>
      </c>
      <c r="F132" s="13" t="s">
        <v>1574</v>
      </c>
      <c r="G132" s="13" t="s">
        <v>1583</v>
      </c>
      <c r="H132" s="13" t="s">
        <v>1587</v>
      </c>
      <c r="I132" s="13" t="s">
        <v>1589</v>
      </c>
      <c r="J132" s="13" t="s">
        <v>1589</v>
      </c>
      <c r="K132" s="13" t="s">
        <v>1590</v>
      </c>
      <c r="L132" s="13" t="s">
        <v>1587</v>
      </c>
      <c r="M132" s="13" t="s">
        <v>1595</v>
      </c>
      <c r="N132" s="13" t="s">
        <v>1603</v>
      </c>
      <c r="O132" s="13" t="s">
        <v>1613</v>
      </c>
      <c r="P132" s="13" t="s">
        <v>1629</v>
      </c>
    </row>
    <row r="133" spans="1:16" ht="15" customHeight="1">
      <c r="A133" s="14">
        <v>132</v>
      </c>
      <c r="B133" s="14" t="s">
        <v>488</v>
      </c>
      <c r="C133" s="14" t="s">
        <v>1552</v>
      </c>
      <c r="D133" s="14" t="s">
        <v>1560</v>
      </c>
      <c r="E133" s="14" t="s">
        <v>1572</v>
      </c>
      <c r="F133" s="14" t="s">
        <v>1574</v>
      </c>
      <c r="G133" s="14" t="s">
        <v>1585</v>
      </c>
      <c r="H133" s="14" t="s">
        <v>1590</v>
      </c>
      <c r="I133" s="14" t="s">
        <v>1589</v>
      </c>
      <c r="J133" s="14" t="s">
        <v>1590</v>
      </c>
      <c r="K133" s="14" t="s">
        <v>1589</v>
      </c>
      <c r="L133" s="14" t="s">
        <v>1587</v>
      </c>
      <c r="M133" s="14" t="s">
        <v>1592</v>
      </c>
      <c r="N133" s="14" t="s">
        <v>1601</v>
      </c>
      <c r="O133" s="14" t="s">
        <v>1613</v>
      </c>
      <c r="P133" s="14" t="s">
        <v>1626</v>
      </c>
    </row>
    <row r="134" spans="1:16" ht="15" customHeight="1">
      <c r="A134" s="13">
        <v>133</v>
      </c>
      <c r="B134" s="13" t="s">
        <v>488</v>
      </c>
      <c r="C134" s="13" t="s">
        <v>1552</v>
      </c>
      <c r="D134" s="13" t="s">
        <v>1560</v>
      </c>
      <c r="E134" s="13" t="s">
        <v>1573</v>
      </c>
      <c r="F134" s="13" t="s">
        <v>1574</v>
      </c>
      <c r="G134" s="13" t="s">
        <v>1583</v>
      </c>
      <c r="H134" s="13" t="s">
        <v>1587</v>
      </c>
      <c r="I134" s="13" t="s">
        <v>1589</v>
      </c>
      <c r="J134" s="13" t="s">
        <v>1590</v>
      </c>
      <c r="K134" s="13" t="s">
        <v>1589</v>
      </c>
      <c r="L134" s="13" t="s">
        <v>1587</v>
      </c>
      <c r="M134" s="13" t="s">
        <v>1592</v>
      </c>
      <c r="N134" s="13" t="s">
        <v>1603</v>
      </c>
      <c r="O134" s="13" t="s">
        <v>1613</v>
      </c>
      <c r="P134" s="13" t="s">
        <v>1628</v>
      </c>
    </row>
    <row r="135" spans="1:16" ht="15" customHeight="1">
      <c r="A135" s="14">
        <v>134</v>
      </c>
      <c r="B135" s="14" t="s">
        <v>488</v>
      </c>
      <c r="C135" s="14" t="s">
        <v>1552</v>
      </c>
      <c r="D135" s="14" t="s">
        <v>1560</v>
      </c>
      <c r="E135" s="14" t="s">
        <v>1573</v>
      </c>
      <c r="F135" s="14" t="s">
        <v>1574</v>
      </c>
      <c r="G135" s="14" t="s">
        <v>1583</v>
      </c>
      <c r="H135" s="14" t="s">
        <v>1587</v>
      </c>
      <c r="I135" s="14" t="s">
        <v>1590</v>
      </c>
      <c r="J135" s="14" t="s">
        <v>1587</v>
      </c>
      <c r="K135" s="14" t="s">
        <v>1587</v>
      </c>
      <c r="L135" s="14" t="s">
        <v>1590</v>
      </c>
      <c r="M135" s="14" t="s">
        <v>1592</v>
      </c>
      <c r="N135" s="14" t="s">
        <v>1601</v>
      </c>
      <c r="O135" s="14" t="s">
        <v>1613</v>
      </c>
      <c r="P135" s="14" t="s">
        <v>1626</v>
      </c>
    </row>
    <row r="136" spans="1:16" ht="15" customHeight="1">
      <c r="A136" s="13">
        <v>135</v>
      </c>
      <c r="B136" s="13" t="s">
        <v>488</v>
      </c>
      <c r="C136" s="13" t="s">
        <v>1555</v>
      </c>
      <c r="D136" s="13" t="s">
        <v>1560</v>
      </c>
      <c r="E136" s="13" t="s">
        <v>1573</v>
      </c>
      <c r="F136" s="13" t="s">
        <v>1576</v>
      </c>
      <c r="G136" s="13" t="s">
        <v>1585</v>
      </c>
      <c r="H136" s="13" t="s">
        <v>1587</v>
      </c>
      <c r="I136" s="13" t="s">
        <v>1589</v>
      </c>
      <c r="J136" s="13" t="s">
        <v>1589</v>
      </c>
      <c r="K136" s="13" t="s">
        <v>1587</v>
      </c>
      <c r="L136" s="13" t="s">
        <v>1589</v>
      </c>
      <c r="M136" s="13" t="s">
        <v>1595</v>
      </c>
      <c r="N136" s="13" t="s">
        <v>1603</v>
      </c>
      <c r="O136" s="13" t="s">
        <v>1614</v>
      </c>
      <c r="P136" s="13" t="s">
        <v>1629</v>
      </c>
    </row>
    <row r="137" spans="1:16" ht="15" customHeight="1">
      <c r="A137" s="14">
        <v>136</v>
      </c>
      <c r="B137" s="14" t="s">
        <v>488</v>
      </c>
      <c r="C137" s="14" t="s">
        <v>1555</v>
      </c>
      <c r="D137" s="14" t="s">
        <v>1560</v>
      </c>
      <c r="E137" s="14" t="s">
        <v>1572</v>
      </c>
      <c r="F137" s="14" t="s">
        <v>1577</v>
      </c>
      <c r="G137" s="14" t="s">
        <v>1585</v>
      </c>
      <c r="H137" s="14" t="s">
        <v>1587</v>
      </c>
      <c r="I137" s="14" t="s">
        <v>1589</v>
      </c>
      <c r="J137" s="14" t="s">
        <v>1590</v>
      </c>
      <c r="K137" s="14" t="s">
        <v>1589</v>
      </c>
      <c r="L137" s="14" t="s">
        <v>1587</v>
      </c>
      <c r="M137" s="14" t="s">
        <v>1592</v>
      </c>
      <c r="N137" s="14" t="s">
        <v>1601</v>
      </c>
      <c r="O137" s="14" t="s">
        <v>1613</v>
      </c>
      <c r="P137" s="14" t="s">
        <v>1626</v>
      </c>
    </row>
    <row r="138" spans="1:16" ht="15" customHeight="1">
      <c r="A138" s="13">
        <v>137</v>
      </c>
      <c r="B138" s="13" t="s">
        <v>488</v>
      </c>
      <c r="C138" s="13" t="s">
        <v>1555</v>
      </c>
      <c r="D138" s="13" t="s">
        <v>1560</v>
      </c>
      <c r="E138" s="13" t="s">
        <v>1572</v>
      </c>
      <c r="F138" s="13" t="s">
        <v>1576</v>
      </c>
      <c r="G138" s="13" t="s">
        <v>1583</v>
      </c>
      <c r="H138" s="13" t="s">
        <v>1587</v>
      </c>
      <c r="I138" s="13" t="s">
        <v>1590</v>
      </c>
      <c r="J138" s="13" t="s">
        <v>1589</v>
      </c>
      <c r="K138" s="13" t="s">
        <v>1587</v>
      </c>
      <c r="L138" s="13" t="s">
        <v>1587</v>
      </c>
      <c r="M138" s="13" t="s">
        <v>1592</v>
      </c>
      <c r="N138" s="13" t="s">
        <v>1603</v>
      </c>
      <c r="O138" s="13" t="s">
        <v>1613</v>
      </c>
      <c r="P138" s="13" t="s">
        <v>1629</v>
      </c>
    </row>
    <row r="139" spans="1:16" ht="15" customHeight="1">
      <c r="A139" s="14">
        <v>138</v>
      </c>
      <c r="B139" s="14" t="s">
        <v>488</v>
      </c>
      <c r="C139" s="14" t="s">
        <v>1555</v>
      </c>
      <c r="D139" s="14" t="s">
        <v>1560</v>
      </c>
      <c r="E139" s="14" t="s">
        <v>1572</v>
      </c>
      <c r="F139" s="14" t="s">
        <v>1574</v>
      </c>
      <c r="G139" s="14" t="s">
        <v>1585</v>
      </c>
      <c r="H139" s="14" t="s">
        <v>1587</v>
      </c>
      <c r="I139" s="14" t="s">
        <v>1589</v>
      </c>
      <c r="J139" s="14" t="s">
        <v>1590</v>
      </c>
      <c r="K139" s="14" t="s">
        <v>1589</v>
      </c>
      <c r="L139" s="14" t="s">
        <v>1590</v>
      </c>
      <c r="M139" s="14" t="s">
        <v>1597</v>
      </c>
      <c r="N139" s="14" t="s">
        <v>1603</v>
      </c>
      <c r="O139" s="14" t="s">
        <v>1613</v>
      </c>
      <c r="P139" s="14" t="s">
        <v>1628</v>
      </c>
    </row>
    <row r="140" spans="1:16" ht="15" customHeight="1">
      <c r="A140" s="13">
        <v>139</v>
      </c>
      <c r="B140" s="13" t="s">
        <v>488</v>
      </c>
      <c r="C140" s="13" t="s">
        <v>1552</v>
      </c>
      <c r="D140" s="13" t="s">
        <v>1563</v>
      </c>
      <c r="E140" s="13" t="s">
        <v>1572</v>
      </c>
      <c r="F140" s="13" t="s">
        <v>1576</v>
      </c>
      <c r="G140" s="13" t="s">
        <v>1585</v>
      </c>
      <c r="H140" s="13" t="s">
        <v>1587</v>
      </c>
      <c r="I140" s="13" t="s">
        <v>1589</v>
      </c>
      <c r="J140" s="13" t="s">
        <v>1590</v>
      </c>
      <c r="K140" s="13" t="s">
        <v>1590</v>
      </c>
      <c r="L140" s="13" t="s">
        <v>1587</v>
      </c>
      <c r="M140" s="13" t="s">
        <v>1592</v>
      </c>
      <c r="N140" s="13" t="s">
        <v>1606</v>
      </c>
      <c r="O140" s="13" t="s">
        <v>1614</v>
      </c>
      <c r="P140" s="13" t="s">
        <v>1626</v>
      </c>
    </row>
    <row r="141" spans="1:16" ht="15" customHeight="1">
      <c r="A141" s="14">
        <v>140</v>
      </c>
      <c r="B141" s="14" t="s">
        <v>488</v>
      </c>
      <c r="C141" s="14" t="s">
        <v>1555</v>
      </c>
      <c r="D141" s="14" t="s">
        <v>1560</v>
      </c>
      <c r="E141" s="14" t="s">
        <v>1571</v>
      </c>
      <c r="F141" s="14" t="s">
        <v>1574</v>
      </c>
      <c r="G141" s="14" t="s">
        <v>1585</v>
      </c>
      <c r="H141" s="14" t="s">
        <v>1587</v>
      </c>
      <c r="I141" s="14" t="s">
        <v>1590</v>
      </c>
      <c r="J141" s="14" t="s">
        <v>1590</v>
      </c>
      <c r="K141" s="14" t="s">
        <v>1587</v>
      </c>
      <c r="L141" s="14" t="s">
        <v>1590</v>
      </c>
      <c r="M141" s="14" t="s">
        <v>1592</v>
      </c>
      <c r="N141" s="14" t="s">
        <v>1601</v>
      </c>
      <c r="O141" s="14" t="s">
        <v>1614</v>
      </c>
      <c r="P141" s="14" t="s">
        <v>1629</v>
      </c>
    </row>
    <row r="142" spans="1:16" ht="15" customHeight="1">
      <c r="A142" s="13">
        <v>141</v>
      </c>
      <c r="B142" s="13" t="s">
        <v>488</v>
      </c>
      <c r="C142" s="13" t="s">
        <v>1552</v>
      </c>
      <c r="D142" s="13" t="s">
        <v>1563</v>
      </c>
      <c r="E142" s="13" t="s">
        <v>1573</v>
      </c>
      <c r="F142" s="13" t="s">
        <v>1574</v>
      </c>
      <c r="G142" s="13" t="s">
        <v>1585</v>
      </c>
      <c r="H142" s="13" t="s">
        <v>1587</v>
      </c>
      <c r="I142" s="13" t="s">
        <v>1590</v>
      </c>
      <c r="J142" s="13" t="s">
        <v>1590</v>
      </c>
      <c r="K142" s="13" t="s">
        <v>1587</v>
      </c>
      <c r="L142" s="13" t="s">
        <v>1587</v>
      </c>
      <c r="M142" s="13" t="s">
        <v>1592</v>
      </c>
      <c r="N142" s="13" t="s">
        <v>1603</v>
      </c>
      <c r="O142" s="13" t="s">
        <v>1613</v>
      </c>
      <c r="P142" s="13" t="s">
        <v>1629</v>
      </c>
    </row>
    <row r="143" spans="1:16" ht="15" customHeight="1">
      <c r="A143" s="14">
        <v>142</v>
      </c>
      <c r="B143" s="14" t="s">
        <v>488</v>
      </c>
      <c r="C143" s="14" t="s">
        <v>1552</v>
      </c>
      <c r="D143" s="14" t="s">
        <v>1563</v>
      </c>
      <c r="E143" s="14" t="s">
        <v>1572</v>
      </c>
      <c r="F143" s="14" t="s">
        <v>1574</v>
      </c>
      <c r="G143" s="14" t="s">
        <v>1585</v>
      </c>
      <c r="H143" s="14" t="s">
        <v>1587</v>
      </c>
      <c r="I143" s="14" t="s">
        <v>1590</v>
      </c>
      <c r="J143" s="14" t="s">
        <v>1590</v>
      </c>
      <c r="K143" s="14" t="s">
        <v>1589</v>
      </c>
      <c r="L143" s="14" t="s">
        <v>1587</v>
      </c>
      <c r="M143" s="14" t="s">
        <v>1597</v>
      </c>
      <c r="N143" s="14" t="s">
        <v>1603</v>
      </c>
      <c r="O143" s="14" t="s">
        <v>1613</v>
      </c>
      <c r="P143" s="14" t="s">
        <v>1626</v>
      </c>
    </row>
    <row r="144" spans="1:16" ht="15" customHeight="1">
      <c r="A144" s="13">
        <v>143</v>
      </c>
      <c r="B144" s="13" t="s">
        <v>488</v>
      </c>
      <c r="C144" s="13" t="s">
        <v>1552</v>
      </c>
      <c r="D144" s="13" t="s">
        <v>1560</v>
      </c>
      <c r="E144" s="13" t="s">
        <v>1573</v>
      </c>
      <c r="F144" s="13" t="s">
        <v>1574</v>
      </c>
      <c r="G144" s="13" t="s">
        <v>1585</v>
      </c>
      <c r="H144" s="13" t="s">
        <v>1587</v>
      </c>
      <c r="I144" s="13" t="s">
        <v>1589</v>
      </c>
      <c r="J144" s="13" t="s">
        <v>1590</v>
      </c>
      <c r="K144" s="13" t="s">
        <v>1587</v>
      </c>
      <c r="L144" s="13" t="s">
        <v>1587</v>
      </c>
      <c r="M144" s="13" t="s">
        <v>1592</v>
      </c>
      <c r="N144" s="13" t="s">
        <v>1603</v>
      </c>
      <c r="O144" s="13" t="s">
        <v>1615</v>
      </c>
      <c r="P144" s="13" t="s">
        <v>1626</v>
      </c>
    </row>
    <row r="145" spans="1:16" ht="15" customHeight="1">
      <c r="A145" s="14">
        <v>144</v>
      </c>
      <c r="B145" s="14" t="s">
        <v>488</v>
      </c>
      <c r="C145" s="14" t="s">
        <v>1555</v>
      </c>
      <c r="D145" s="14" t="s">
        <v>1560</v>
      </c>
      <c r="E145" s="14" t="s">
        <v>1573</v>
      </c>
      <c r="F145" s="14" t="s">
        <v>1574</v>
      </c>
      <c r="G145" s="14" t="s">
        <v>1585</v>
      </c>
      <c r="H145" s="14" t="s">
        <v>1587</v>
      </c>
      <c r="I145" s="14" t="s">
        <v>1589</v>
      </c>
      <c r="J145" s="14" t="s">
        <v>1590</v>
      </c>
      <c r="K145" s="14" t="s">
        <v>1587</v>
      </c>
      <c r="L145" s="14" t="s">
        <v>1587</v>
      </c>
      <c r="M145" s="14" t="s">
        <v>1592</v>
      </c>
      <c r="N145" s="14" t="s">
        <v>1601</v>
      </c>
      <c r="O145" s="14" t="s">
        <v>1614</v>
      </c>
      <c r="P145" s="14" t="s">
        <v>1628</v>
      </c>
    </row>
    <row r="146" spans="1:16" ht="15" customHeight="1">
      <c r="A146" s="13">
        <v>145</v>
      </c>
      <c r="B146" s="13" t="s">
        <v>488</v>
      </c>
      <c r="C146" s="13" t="s">
        <v>1552</v>
      </c>
      <c r="D146" s="13" t="s">
        <v>1560</v>
      </c>
      <c r="E146" s="13" t="s">
        <v>1573</v>
      </c>
      <c r="F146" s="13" t="s">
        <v>1576</v>
      </c>
      <c r="G146" s="13" t="s">
        <v>1586</v>
      </c>
      <c r="H146" s="13" t="s">
        <v>1590</v>
      </c>
      <c r="I146" s="13" t="s">
        <v>1590</v>
      </c>
      <c r="J146" s="13" t="s">
        <v>1590</v>
      </c>
      <c r="K146" s="13" t="s">
        <v>1587</v>
      </c>
      <c r="L146" s="13" t="s">
        <v>1589</v>
      </c>
      <c r="M146" s="13" t="s">
        <v>1592</v>
      </c>
      <c r="N146" s="13" t="s">
        <v>1603</v>
      </c>
      <c r="O146" s="13" t="s">
        <v>1613</v>
      </c>
      <c r="P146" s="13" t="s">
        <v>1629</v>
      </c>
    </row>
    <row r="147" spans="1:16" ht="15" customHeight="1">
      <c r="A147" s="14">
        <v>146</v>
      </c>
      <c r="B147" s="14" t="s">
        <v>488</v>
      </c>
      <c r="C147" s="14" t="s">
        <v>1552</v>
      </c>
      <c r="D147" s="14" t="s">
        <v>1560</v>
      </c>
      <c r="E147" s="14" t="s">
        <v>1573</v>
      </c>
      <c r="F147" s="14" t="s">
        <v>1574</v>
      </c>
      <c r="G147" s="14" t="s">
        <v>1583</v>
      </c>
      <c r="H147" s="14" t="s">
        <v>1587</v>
      </c>
      <c r="I147" s="14" t="s">
        <v>1590</v>
      </c>
      <c r="J147" s="14" t="s">
        <v>1590</v>
      </c>
      <c r="K147" s="14" t="s">
        <v>1589</v>
      </c>
      <c r="L147" s="14" t="s">
        <v>1587</v>
      </c>
      <c r="M147" s="14" t="s">
        <v>1592</v>
      </c>
      <c r="N147" s="14" t="s">
        <v>1603</v>
      </c>
      <c r="O147" s="14" t="s">
        <v>1613</v>
      </c>
      <c r="P147" s="14" t="s">
        <v>1626</v>
      </c>
    </row>
    <row r="148" spans="1:16" ht="15" customHeight="1">
      <c r="A148" s="13">
        <v>147</v>
      </c>
      <c r="B148" s="13" t="s">
        <v>488</v>
      </c>
      <c r="C148" s="13" t="s">
        <v>1552</v>
      </c>
      <c r="D148" s="13" t="s">
        <v>1560</v>
      </c>
      <c r="E148" s="13" t="s">
        <v>1573</v>
      </c>
      <c r="F148" s="13" t="s">
        <v>1574</v>
      </c>
      <c r="G148" s="13" t="s">
        <v>1583</v>
      </c>
      <c r="H148" s="13" t="s">
        <v>1589</v>
      </c>
      <c r="I148" s="13" t="s">
        <v>1589</v>
      </c>
      <c r="J148" s="13" t="s">
        <v>1590</v>
      </c>
      <c r="K148" s="13" t="s">
        <v>1589</v>
      </c>
      <c r="L148" s="13" t="s">
        <v>1590</v>
      </c>
      <c r="M148" s="13" t="s">
        <v>1592</v>
      </c>
      <c r="N148" s="13" t="s">
        <v>1603</v>
      </c>
      <c r="O148" s="13" t="s">
        <v>1614</v>
      </c>
      <c r="P148" s="13" t="s">
        <v>1629</v>
      </c>
    </row>
    <row r="149" spans="1:16" ht="15" customHeight="1">
      <c r="A149" s="14">
        <v>148</v>
      </c>
      <c r="B149" s="14" t="s">
        <v>488</v>
      </c>
      <c r="C149" s="14" t="s">
        <v>1559</v>
      </c>
      <c r="D149" s="14" t="s">
        <v>1560</v>
      </c>
      <c r="E149" s="14" t="s">
        <v>1573</v>
      </c>
      <c r="F149" s="14" t="s">
        <v>1574</v>
      </c>
      <c r="G149" s="14" t="s">
        <v>1586</v>
      </c>
      <c r="H149" s="14" t="s">
        <v>1587</v>
      </c>
      <c r="I149" s="14" t="s">
        <v>1589</v>
      </c>
      <c r="J149" s="14" t="s">
        <v>1590</v>
      </c>
      <c r="K149" s="14" t="s">
        <v>1587</v>
      </c>
      <c r="L149" s="14" t="s">
        <v>1587</v>
      </c>
      <c r="M149" s="14" t="s">
        <v>1592</v>
      </c>
      <c r="N149" s="14" t="s">
        <v>1606</v>
      </c>
      <c r="O149" s="14" t="s">
        <v>1615</v>
      </c>
      <c r="P149" s="14" t="s">
        <v>1629</v>
      </c>
    </row>
    <row r="150" spans="1:16" ht="15" customHeight="1">
      <c r="A150" s="13">
        <v>149</v>
      </c>
      <c r="B150" s="13" t="s">
        <v>488</v>
      </c>
      <c r="C150" s="13" t="s">
        <v>1552</v>
      </c>
      <c r="D150" s="13" t="s">
        <v>1560</v>
      </c>
      <c r="E150" s="13" t="s">
        <v>1572</v>
      </c>
      <c r="F150" s="13" t="s">
        <v>1574</v>
      </c>
      <c r="G150" s="13" t="s">
        <v>1585</v>
      </c>
      <c r="H150" s="13" t="s">
        <v>1587</v>
      </c>
      <c r="I150" s="13" t="s">
        <v>1589</v>
      </c>
      <c r="J150" s="13" t="s">
        <v>1590</v>
      </c>
      <c r="K150" s="13" t="s">
        <v>1587</v>
      </c>
      <c r="L150" s="13" t="s">
        <v>1587</v>
      </c>
      <c r="M150" s="13" t="s">
        <v>1592</v>
      </c>
      <c r="N150" s="13" t="s">
        <v>1603</v>
      </c>
      <c r="O150" s="13" t="s">
        <v>1613</v>
      </c>
      <c r="P150" s="13" t="s">
        <v>1626</v>
      </c>
    </row>
    <row r="151" spans="1:16" ht="15" customHeight="1">
      <c r="A151" s="14">
        <v>150</v>
      </c>
      <c r="B151" s="14" t="s">
        <v>488</v>
      </c>
      <c r="C151" s="14" t="s">
        <v>1552</v>
      </c>
      <c r="D151" s="14" t="s">
        <v>1560</v>
      </c>
      <c r="E151" s="14" t="s">
        <v>1573</v>
      </c>
      <c r="F151" s="14" t="s">
        <v>1574</v>
      </c>
      <c r="G151" s="14" t="s">
        <v>1585</v>
      </c>
      <c r="H151" s="14" t="s">
        <v>1589</v>
      </c>
      <c r="I151" s="14" t="s">
        <v>1589</v>
      </c>
      <c r="J151" s="14" t="s">
        <v>1590</v>
      </c>
      <c r="K151" s="14" t="s">
        <v>1587</v>
      </c>
      <c r="L151" s="14" t="s">
        <v>1587</v>
      </c>
      <c r="M151" s="14" t="s">
        <v>1592</v>
      </c>
      <c r="N151" s="14" t="s">
        <v>1603</v>
      </c>
      <c r="O151" s="14" t="s">
        <v>1613</v>
      </c>
      <c r="P151" s="14" t="s">
        <v>1629</v>
      </c>
    </row>
    <row r="152" spans="1:16" ht="15" customHeight="1">
      <c r="A152" s="13">
        <v>151</v>
      </c>
      <c r="B152" s="13" t="s">
        <v>488</v>
      </c>
      <c r="C152" s="13" t="s">
        <v>1556</v>
      </c>
      <c r="D152" s="13" t="s">
        <v>1563</v>
      </c>
      <c r="E152" s="13" t="s">
        <v>1572</v>
      </c>
      <c r="F152" s="13" t="s">
        <v>1574</v>
      </c>
      <c r="G152" s="13" t="s">
        <v>1585</v>
      </c>
      <c r="H152" s="13" t="s">
        <v>1587</v>
      </c>
      <c r="I152" s="13" t="s">
        <v>1589</v>
      </c>
      <c r="J152" s="13" t="s">
        <v>1590</v>
      </c>
      <c r="K152" s="13" t="s">
        <v>1590</v>
      </c>
      <c r="L152" s="13" t="s">
        <v>1587</v>
      </c>
      <c r="M152" s="13" t="s">
        <v>1592</v>
      </c>
      <c r="N152" s="13" t="s">
        <v>1603</v>
      </c>
      <c r="O152" s="13" t="s">
        <v>1613</v>
      </c>
      <c r="P152" s="13" t="s">
        <v>1626</v>
      </c>
    </row>
    <row r="153" spans="1:16" ht="15" customHeight="1">
      <c r="A153" s="14">
        <v>152</v>
      </c>
      <c r="B153" s="14" t="s">
        <v>488</v>
      </c>
      <c r="C153" s="14" t="s">
        <v>1552</v>
      </c>
      <c r="D153" s="14" t="s">
        <v>1563</v>
      </c>
      <c r="E153" s="14" t="s">
        <v>1573</v>
      </c>
      <c r="F153" s="14" t="s">
        <v>1574</v>
      </c>
      <c r="G153" s="14" t="s">
        <v>1585</v>
      </c>
      <c r="H153" s="14" t="s">
        <v>1589</v>
      </c>
      <c r="I153" s="14" t="s">
        <v>1590</v>
      </c>
      <c r="J153" s="14" t="s">
        <v>1590</v>
      </c>
      <c r="K153" s="14" t="s">
        <v>1587</v>
      </c>
      <c r="L153" s="14" t="s">
        <v>1587</v>
      </c>
      <c r="M153" s="14" t="s">
        <v>1595</v>
      </c>
      <c r="N153" s="14" t="s">
        <v>1603</v>
      </c>
      <c r="O153" s="14" t="s">
        <v>1612</v>
      </c>
      <c r="P153" s="14" t="s">
        <v>1629</v>
      </c>
    </row>
    <row r="154" spans="1:16" ht="15" customHeight="1">
      <c r="A154" s="13">
        <v>153</v>
      </c>
      <c r="B154" s="13" t="s">
        <v>488</v>
      </c>
      <c r="C154" s="13" t="s">
        <v>1552</v>
      </c>
      <c r="D154" s="13" t="s">
        <v>1560</v>
      </c>
      <c r="E154" s="13" t="s">
        <v>1572</v>
      </c>
      <c r="F154" s="13" t="s">
        <v>1576</v>
      </c>
      <c r="G154" s="13" t="s">
        <v>1583</v>
      </c>
      <c r="H154" s="13" t="s">
        <v>1587</v>
      </c>
      <c r="I154" s="13" t="s">
        <v>1589</v>
      </c>
      <c r="J154" s="13" t="s">
        <v>1589</v>
      </c>
      <c r="K154" s="13" t="s">
        <v>1587</v>
      </c>
      <c r="L154" s="13" t="s">
        <v>1587</v>
      </c>
      <c r="M154" s="13" t="s">
        <v>1592</v>
      </c>
      <c r="N154" s="13" t="s">
        <v>1603</v>
      </c>
      <c r="O154" s="13" t="s">
        <v>1613</v>
      </c>
      <c r="P154" s="13" t="s">
        <v>1626</v>
      </c>
    </row>
    <row r="155" spans="1:16" ht="15" customHeight="1">
      <c r="A155" s="14">
        <v>154</v>
      </c>
      <c r="B155" s="14" t="s">
        <v>488</v>
      </c>
      <c r="C155" s="14" t="s">
        <v>1555</v>
      </c>
      <c r="D155" s="14" t="s">
        <v>1560</v>
      </c>
      <c r="E155" s="14" t="s">
        <v>1573</v>
      </c>
      <c r="F155" s="14" t="s">
        <v>1574</v>
      </c>
      <c r="G155" s="14" t="s">
        <v>1585</v>
      </c>
      <c r="H155" s="14" t="s">
        <v>1587</v>
      </c>
      <c r="I155" s="14" t="s">
        <v>1587</v>
      </c>
      <c r="J155" s="14" t="s">
        <v>1590</v>
      </c>
      <c r="K155" s="14" t="s">
        <v>1587</v>
      </c>
      <c r="L155" s="14" t="s">
        <v>1587</v>
      </c>
      <c r="M155" s="14" t="s">
        <v>1592</v>
      </c>
      <c r="N155" s="14" t="s">
        <v>1603</v>
      </c>
      <c r="O155" s="14" t="s">
        <v>1613</v>
      </c>
      <c r="P155" s="14" t="s">
        <v>1626</v>
      </c>
    </row>
    <row r="156" spans="1:16" ht="15" customHeight="1">
      <c r="A156" s="13">
        <v>155</v>
      </c>
      <c r="B156" s="13" t="s">
        <v>488</v>
      </c>
      <c r="C156" s="13" t="s">
        <v>1552</v>
      </c>
      <c r="D156" s="13" t="s">
        <v>1560</v>
      </c>
      <c r="E156" s="13" t="s">
        <v>1573</v>
      </c>
      <c r="F156" s="13" t="s">
        <v>1574</v>
      </c>
      <c r="G156" s="13" t="s">
        <v>1585</v>
      </c>
      <c r="H156" s="13" t="s">
        <v>1587</v>
      </c>
      <c r="I156" s="13" t="s">
        <v>1589</v>
      </c>
      <c r="J156" s="13" t="s">
        <v>1590</v>
      </c>
      <c r="K156" s="13" t="s">
        <v>1587</v>
      </c>
      <c r="L156" s="13" t="s">
        <v>1587</v>
      </c>
      <c r="M156" s="13" t="s">
        <v>1592</v>
      </c>
      <c r="N156" s="13" t="s">
        <v>1603</v>
      </c>
      <c r="O156" s="13" t="s">
        <v>1613</v>
      </c>
      <c r="P156" s="13" t="s">
        <v>1628</v>
      </c>
    </row>
    <row r="157" spans="1:16" ht="15" customHeight="1">
      <c r="A157" s="14">
        <v>156</v>
      </c>
      <c r="B157" s="14" t="s">
        <v>488</v>
      </c>
      <c r="C157" s="14" t="s">
        <v>1552</v>
      </c>
      <c r="D157" s="14" t="s">
        <v>1560</v>
      </c>
      <c r="E157" s="14" t="s">
        <v>1573</v>
      </c>
      <c r="F157" s="14" t="s">
        <v>1574</v>
      </c>
      <c r="G157" s="14" t="s">
        <v>1586</v>
      </c>
      <c r="H157" s="14" t="s">
        <v>1587</v>
      </c>
      <c r="I157" s="14" t="s">
        <v>1590</v>
      </c>
      <c r="J157" s="14" t="s">
        <v>1590</v>
      </c>
      <c r="K157" s="14" t="s">
        <v>1589</v>
      </c>
      <c r="L157" s="14" t="s">
        <v>1587</v>
      </c>
      <c r="M157" s="14" t="s">
        <v>1592</v>
      </c>
      <c r="N157" s="14" t="s">
        <v>1603</v>
      </c>
      <c r="O157" s="14" t="s">
        <v>1613</v>
      </c>
      <c r="P157" s="14" t="s">
        <v>1629</v>
      </c>
    </row>
    <row r="158" spans="1:16" ht="15" customHeight="1">
      <c r="A158" s="13">
        <v>157</v>
      </c>
      <c r="B158" s="13" t="s">
        <v>488</v>
      </c>
      <c r="C158" s="13" t="s">
        <v>1552</v>
      </c>
      <c r="D158" s="13" t="s">
        <v>1560</v>
      </c>
      <c r="E158" s="13" t="s">
        <v>1573</v>
      </c>
      <c r="F158" s="13" t="s">
        <v>1574</v>
      </c>
      <c r="G158" s="13" t="s">
        <v>1585</v>
      </c>
      <c r="H158" s="13" t="s">
        <v>1589</v>
      </c>
      <c r="I158" s="13" t="s">
        <v>1589</v>
      </c>
      <c r="J158" s="13" t="s">
        <v>1590</v>
      </c>
      <c r="K158" s="13" t="s">
        <v>1589</v>
      </c>
      <c r="L158" s="13" t="s">
        <v>1589</v>
      </c>
      <c r="M158" s="13" t="s">
        <v>1592</v>
      </c>
      <c r="N158" s="13" t="s">
        <v>1601</v>
      </c>
      <c r="O158" s="13" t="s">
        <v>1613</v>
      </c>
      <c r="P158" s="13" t="s">
        <v>1626</v>
      </c>
    </row>
    <row r="159" spans="1:16" ht="15" customHeight="1">
      <c r="A159" s="14">
        <v>158</v>
      </c>
      <c r="B159" s="14" t="s">
        <v>488</v>
      </c>
      <c r="C159" s="14" t="s">
        <v>1556</v>
      </c>
      <c r="D159" s="14" t="s">
        <v>1560</v>
      </c>
      <c r="E159" s="14" t="s">
        <v>1573</v>
      </c>
      <c r="F159" s="14" t="s">
        <v>1574</v>
      </c>
      <c r="G159" s="14" t="s">
        <v>1585</v>
      </c>
      <c r="H159" s="14" t="s">
        <v>1587</v>
      </c>
      <c r="I159" s="14" t="s">
        <v>1590</v>
      </c>
      <c r="J159" s="14" t="s">
        <v>1590</v>
      </c>
      <c r="K159" s="14" t="s">
        <v>1589</v>
      </c>
      <c r="L159" s="14" t="s">
        <v>1589</v>
      </c>
      <c r="M159" s="14" t="s">
        <v>1592</v>
      </c>
      <c r="N159" s="14" t="s">
        <v>1601</v>
      </c>
      <c r="O159" s="14" t="s">
        <v>1613</v>
      </c>
      <c r="P159" s="14" t="s">
        <v>1629</v>
      </c>
    </row>
    <row r="160" spans="1:16" ht="15" customHeight="1">
      <c r="A160" s="13">
        <v>159</v>
      </c>
      <c r="B160" s="13" t="s">
        <v>488</v>
      </c>
      <c r="C160" s="13" t="s">
        <v>1555</v>
      </c>
      <c r="D160" s="13" t="s">
        <v>1560</v>
      </c>
      <c r="E160" s="13" t="s">
        <v>1572</v>
      </c>
      <c r="F160" s="13" t="s">
        <v>1574</v>
      </c>
      <c r="G160" s="13" t="s">
        <v>1583</v>
      </c>
      <c r="H160" s="13" t="s">
        <v>1587</v>
      </c>
      <c r="I160" s="13" t="s">
        <v>1589</v>
      </c>
      <c r="J160" s="13" t="s">
        <v>1590</v>
      </c>
      <c r="K160" s="13" t="s">
        <v>1589</v>
      </c>
      <c r="L160" s="13" t="s">
        <v>1589</v>
      </c>
      <c r="M160" s="13" t="s">
        <v>1592</v>
      </c>
      <c r="N160" s="13" t="s">
        <v>1603</v>
      </c>
      <c r="O160" s="13" t="s">
        <v>1614</v>
      </c>
      <c r="P160" s="13" t="s">
        <v>1628</v>
      </c>
    </row>
    <row r="161" spans="1:16" ht="15" customHeight="1">
      <c r="A161" s="14">
        <v>160</v>
      </c>
      <c r="B161" s="14" t="s">
        <v>488</v>
      </c>
      <c r="C161" s="14" t="s">
        <v>1555</v>
      </c>
      <c r="D161" s="14" t="s">
        <v>1560</v>
      </c>
      <c r="E161" s="14" t="s">
        <v>1572</v>
      </c>
      <c r="F161" s="14" t="s">
        <v>1577</v>
      </c>
      <c r="G161" s="14" t="s">
        <v>1585</v>
      </c>
      <c r="H161" s="14" t="s">
        <v>1587</v>
      </c>
      <c r="I161" s="14" t="s">
        <v>1589</v>
      </c>
      <c r="J161" s="14" t="s">
        <v>1590</v>
      </c>
      <c r="K161" s="14" t="s">
        <v>1589</v>
      </c>
      <c r="L161" s="14" t="s">
        <v>1587</v>
      </c>
      <c r="M161" s="14" t="s">
        <v>1592</v>
      </c>
      <c r="N161" s="14" t="s">
        <v>1603</v>
      </c>
      <c r="O161" s="14" t="s">
        <v>1614</v>
      </c>
      <c r="P161" s="14" t="s">
        <v>1626</v>
      </c>
    </row>
    <row r="162" spans="1:16" ht="15" customHeight="1">
      <c r="A162" s="13">
        <v>161</v>
      </c>
      <c r="B162" s="13" t="s">
        <v>488</v>
      </c>
      <c r="C162" s="13" t="s">
        <v>1555</v>
      </c>
      <c r="D162" s="13" t="s">
        <v>1560</v>
      </c>
      <c r="E162" s="13" t="s">
        <v>1572</v>
      </c>
      <c r="F162" s="13" t="s">
        <v>1574</v>
      </c>
      <c r="G162" s="13" t="s">
        <v>1585</v>
      </c>
      <c r="H162" s="13" t="s">
        <v>1587</v>
      </c>
      <c r="I162" s="13" t="s">
        <v>1589</v>
      </c>
      <c r="J162" s="13" t="s">
        <v>1589</v>
      </c>
      <c r="K162" s="13" t="s">
        <v>1587</v>
      </c>
      <c r="L162" s="13" t="s">
        <v>1587</v>
      </c>
      <c r="M162" s="13" t="s">
        <v>1592</v>
      </c>
      <c r="N162" s="13" t="s">
        <v>1601</v>
      </c>
      <c r="O162" s="13" t="s">
        <v>1613</v>
      </c>
      <c r="P162" s="13" t="s">
        <v>1626</v>
      </c>
    </row>
    <row r="163" spans="1:16" ht="15" customHeight="1">
      <c r="A163" s="14">
        <v>162</v>
      </c>
      <c r="B163" s="14" t="s">
        <v>488</v>
      </c>
      <c r="C163" s="14" t="s">
        <v>1552</v>
      </c>
      <c r="D163" s="14" t="s">
        <v>1560</v>
      </c>
      <c r="E163" s="14" t="s">
        <v>1572</v>
      </c>
      <c r="F163" s="14" t="s">
        <v>1574</v>
      </c>
      <c r="G163" s="14" t="s">
        <v>1586</v>
      </c>
      <c r="H163" s="14" t="s">
        <v>1587</v>
      </c>
      <c r="I163" s="14" t="s">
        <v>1589</v>
      </c>
      <c r="J163" s="14" t="s">
        <v>1590</v>
      </c>
      <c r="K163" s="14" t="s">
        <v>1587</v>
      </c>
      <c r="L163" s="14" t="s">
        <v>1587</v>
      </c>
      <c r="M163" s="14" t="s">
        <v>1592</v>
      </c>
      <c r="N163" s="14" t="s">
        <v>1601</v>
      </c>
      <c r="O163" s="14" t="s">
        <v>1613</v>
      </c>
      <c r="P163" s="14" t="s">
        <v>1626</v>
      </c>
    </row>
    <row r="164" spans="1:16" ht="15" customHeight="1">
      <c r="A164" s="13">
        <v>163</v>
      </c>
      <c r="B164" s="13" t="s">
        <v>488</v>
      </c>
      <c r="C164" s="13" t="s">
        <v>1552</v>
      </c>
      <c r="D164" s="13" t="s">
        <v>1560</v>
      </c>
      <c r="E164" s="13" t="s">
        <v>1573</v>
      </c>
      <c r="F164" s="13" t="s">
        <v>1574</v>
      </c>
      <c r="G164" s="13" t="s">
        <v>1583</v>
      </c>
      <c r="H164" s="13" t="s">
        <v>1587</v>
      </c>
      <c r="I164" s="13" t="s">
        <v>1589</v>
      </c>
      <c r="J164" s="13" t="s">
        <v>1589</v>
      </c>
      <c r="K164" s="13" t="s">
        <v>1587</v>
      </c>
      <c r="L164" s="13" t="s">
        <v>1587</v>
      </c>
      <c r="M164" s="13" t="s">
        <v>1592</v>
      </c>
      <c r="N164" s="13" t="s">
        <v>1601</v>
      </c>
      <c r="O164" s="13" t="s">
        <v>1613</v>
      </c>
      <c r="P164" s="13" t="s">
        <v>1628</v>
      </c>
    </row>
    <row r="165" spans="1:16" ht="15" customHeight="1">
      <c r="A165" s="14">
        <v>164</v>
      </c>
      <c r="B165" s="14" t="s">
        <v>488</v>
      </c>
      <c r="C165" s="14" t="s">
        <v>1555</v>
      </c>
      <c r="D165" s="14" t="s">
        <v>1560</v>
      </c>
      <c r="E165" s="14" t="s">
        <v>1572</v>
      </c>
      <c r="F165" s="14" t="s">
        <v>1574</v>
      </c>
      <c r="G165" s="14" t="s">
        <v>1585</v>
      </c>
      <c r="H165" s="14" t="s">
        <v>1587</v>
      </c>
      <c r="I165" s="14" t="s">
        <v>1589</v>
      </c>
      <c r="J165" s="14" t="s">
        <v>1590</v>
      </c>
      <c r="K165" s="14" t="s">
        <v>1587</v>
      </c>
      <c r="L165" s="14" t="s">
        <v>1589</v>
      </c>
      <c r="M165" s="14" t="s">
        <v>1592</v>
      </c>
      <c r="N165" s="14" t="s">
        <v>1603</v>
      </c>
      <c r="O165" s="14" t="s">
        <v>1613</v>
      </c>
      <c r="P165" s="14" t="s">
        <v>1629</v>
      </c>
    </row>
    <row r="166" spans="1:16" ht="15" customHeight="1">
      <c r="A166" s="13">
        <v>165</v>
      </c>
      <c r="B166" s="13" t="s">
        <v>488</v>
      </c>
      <c r="C166" s="13" t="s">
        <v>1552</v>
      </c>
      <c r="D166" s="13" t="s">
        <v>1560</v>
      </c>
      <c r="E166" s="13" t="s">
        <v>1571</v>
      </c>
      <c r="F166" s="13" t="s">
        <v>1574</v>
      </c>
      <c r="G166" s="13" t="s">
        <v>1581</v>
      </c>
      <c r="H166" s="13" t="s">
        <v>1589</v>
      </c>
      <c r="I166" s="13" t="s">
        <v>1589</v>
      </c>
      <c r="J166" s="13" t="s">
        <v>1590</v>
      </c>
      <c r="K166" s="13" t="s">
        <v>1589</v>
      </c>
      <c r="L166" s="13" t="s">
        <v>1587</v>
      </c>
      <c r="M166" s="13" t="s">
        <v>1592</v>
      </c>
      <c r="N166" s="13" t="s">
        <v>1603</v>
      </c>
      <c r="O166" s="13" t="s">
        <v>1613</v>
      </c>
      <c r="P166" s="13" t="s">
        <v>1629</v>
      </c>
    </row>
    <row r="167" spans="1:16" ht="15" customHeight="1">
      <c r="A167" s="14">
        <v>166</v>
      </c>
      <c r="B167" s="14" t="s">
        <v>488</v>
      </c>
      <c r="C167" s="14" t="s">
        <v>1552</v>
      </c>
      <c r="D167" s="14" t="s">
        <v>1560</v>
      </c>
      <c r="E167" s="14" t="s">
        <v>1571</v>
      </c>
      <c r="F167" s="14" t="s">
        <v>1574</v>
      </c>
      <c r="G167" s="14" t="s">
        <v>1585</v>
      </c>
      <c r="H167" s="14" t="s">
        <v>1587</v>
      </c>
      <c r="I167" s="14" t="s">
        <v>1589</v>
      </c>
      <c r="J167" s="14" t="s">
        <v>1590</v>
      </c>
      <c r="K167" s="14" t="s">
        <v>1589</v>
      </c>
      <c r="L167" s="14" t="s">
        <v>1587</v>
      </c>
      <c r="M167" s="14" t="s">
        <v>1592</v>
      </c>
      <c r="N167" s="14" t="s">
        <v>1603</v>
      </c>
      <c r="O167" s="14" t="s">
        <v>1613</v>
      </c>
      <c r="P167" s="14" t="s">
        <v>1628</v>
      </c>
    </row>
    <row r="168" spans="1:16" ht="15" customHeight="1">
      <c r="A168" s="13">
        <v>167</v>
      </c>
      <c r="B168" s="13" t="s">
        <v>488</v>
      </c>
      <c r="C168" s="13" t="s">
        <v>1552</v>
      </c>
      <c r="D168" s="13" t="s">
        <v>1563</v>
      </c>
      <c r="E168" s="13" t="s">
        <v>1573</v>
      </c>
      <c r="F168" s="13" t="s">
        <v>1574</v>
      </c>
      <c r="G168" s="13" t="s">
        <v>1585</v>
      </c>
      <c r="H168" s="13" t="s">
        <v>1587</v>
      </c>
      <c r="I168" s="13" t="s">
        <v>1589</v>
      </c>
      <c r="J168" s="13" t="s">
        <v>1590</v>
      </c>
      <c r="K168" s="13" t="s">
        <v>1587</v>
      </c>
      <c r="L168" s="13" t="s">
        <v>1587</v>
      </c>
      <c r="M168" s="13" t="s">
        <v>1592</v>
      </c>
      <c r="N168" s="13" t="s">
        <v>1603</v>
      </c>
      <c r="O168" s="13" t="s">
        <v>1613</v>
      </c>
      <c r="P168" s="13" t="s">
        <v>1626</v>
      </c>
    </row>
    <row r="169" spans="1:16" ht="15" customHeight="1">
      <c r="A169" s="14">
        <v>168</v>
      </c>
      <c r="B169" s="14" t="s">
        <v>488</v>
      </c>
      <c r="C169" s="14" t="s">
        <v>1552</v>
      </c>
      <c r="D169" s="14" t="s">
        <v>1560</v>
      </c>
      <c r="E169" s="14" t="s">
        <v>1573</v>
      </c>
      <c r="F169" s="14" t="s">
        <v>1574</v>
      </c>
      <c r="G169" s="14" t="s">
        <v>1585</v>
      </c>
      <c r="H169" s="14" t="s">
        <v>1587</v>
      </c>
      <c r="I169" s="14" t="s">
        <v>1590</v>
      </c>
      <c r="J169" s="14" t="s">
        <v>1590</v>
      </c>
      <c r="K169" s="14" t="s">
        <v>1587</v>
      </c>
      <c r="L169" s="14" t="s">
        <v>1589</v>
      </c>
      <c r="M169" s="14" t="s">
        <v>1592</v>
      </c>
      <c r="N169" s="14" t="s">
        <v>1603</v>
      </c>
      <c r="O169" s="14" t="s">
        <v>1613</v>
      </c>
      <c r="P169" s="14" t="s">
        <v>1629</v>
      </c>
    </row>
    <row r="170" spans="1:16" ht="15" customHeight="1">
      <c r="A170" s="13">
        <v>169</v>
      </c>
      <c r="B170" s="13" t="s">
        <v>488</v>
      </c>
      <c r="C170" s="13" t="s">
        <v>1552</v>
      </c>
      <c r="D170" s="13" t="s">
        <v>1560</v>
      </c>
      <c r="E170" s="13" t="s">
        <v>1573</v>
      </c>
      <c r="F170" s="13" t="s">
        <v>1577</v>
      </c>
      <c r="G170" s="13" t="s">
        <v>1583</v>
      </c>
      <c r="H170" s="13" t="s">
        <v>1587</v>
      </c>
      <c r="I170" s="13" t="s">
        <v>1589</v>
      </c>
      <c r="J170" s="13" t="s">
        <v>1590</v>
      </c>
      <c r="K170" s="13" t="s">
        <v>1587</v>
      </c>
      <c r="L170" s="13" t="s">
        <v>1587</v>
      </c>
      <c r="M170" s="13" t="s">
        <v>1597</v>
      </c>
      <c r="N170" s="13" t="s">
        <v>1605</v>
      </c>
      <c r="O170" s="13" t="s">
        <v>1614</v>
      </c>
      <c r="P170" s="13" t="s">
        <v>1629</v>
      </c>
    </row>
    <row r="171" spans="1:16" ht="15" customHeight="1">
      <c r="A171" s="14">
        <v>170</v>
      </c>
      <c r="B171" s="14" t="s">
        <v>488</v>
      </c>
      <c r="C171" s="14" t="s">
        <v>1552</v>
      </c>
      <c r="D171" s="14" t="s">
        <v>1560</v>
      </c>
      <c r="E171" s="14" t="s">
        <v>1573</v>
      </c>
      <c r="F171" s="14" t="s">
        <v>1574</v>
      </c>
      <c r="G171" s="14" t="s">
        <v>1586</v>
      </c>
      <c r="H171" s="14" t="s">
        <v>1587</v>
      </c>
      <c r="I171" s="14" t="s">
        <v>1590</v>
      </c>
      <c r="J171" s="14" t="s">
        <v>1589</v>
      </c>
      <c r="K171" s="14" t="s">
        <v>1589</v>
      </c>
      <c r="L171" s="14" t="s">
        <v>1590</v>
      </c>
      <c r="M171" s="14" t="s">
        <v>1597</v>
      </c>
      <c r="N171" s="14" t="s">
        <v>1601</v>
      </c>
      <c r="O171" s="14" t="s">
        <v>1613</v>
      </c>
      <c r="P171" s="14" t="s">
        <v>1629</v>
      </c>
    </row>
    <row r="172" spans="1:16" ht="15" customHeight="1">
      <c r="A172" s="13">
        <v>171</v>
      </c>
      <c r="B172" s="13" t="s">
        <v>488</v>
      </c>
      <c r="C172" s="13" t="s">
        <v>1552</v>
      </c>
      <c r="D172" s="13" t="s">
        <v>1560</v>
      </c>
      <c r="E172" s="13" t="s">
        <v>1573</v>
      </c>
      <c r="F172" s="13" t="s">
        <v>1574</v>
      </c>
      <c r="G172" s="13" t="s">
        <v>1586</v>
      </c>
      <c r="H172" s="13" t="s">
        <v>1587</v>
      </c>
      <c r="I172" s="13" t="s">
        <v>1589</v>
      </c>
      <c r="J172" s="13" t="s">
        <v>1590</v>
      </c>
      <c r="K172" s="13" t="s">
        <v>1589</v>
      </c>
      <c r="L172" s="13" t="s">
        <v>1587</v>
      </c>
      <c r="M172" s="13" t="s">
        <v>1592</v>
      </c>
      <c r="N172" s="13" t="s">
        <v>1603</v>
      </c>
      <c r="O172" s="13" t="s">
        <v>1613</v>
      </c>
      <c r="P172" s="13" t="s">
        <v>1626</v>
      </c>
    </row>
    <row r="173" spans="1:16" ht="15" customHeight="1">
      <c r="A173" s="14">
        <v>172</v>
      </c>
      <c r="B173" s="14" t="s">
        <v>488</v>
      </c>
      <c r="C173" s="14" t="s">
        <v>1552</v>
      </c>
      <c r="D173" s="14" t="s">
        <v>1560</v>
      </c>
      <c r="E173" s="14" t="s">
        <v>1572</v>
      </c>
      <c r="F173" s="14" t="s">
        <v>1574</v>
      </c>
      <c r="G173" s="14" t="s">
        <v>1585</v>
      </c>
      <c r="H173" s="14" t="s">
        <v>1587</v>
      </c>
      <c r="I173" s="14" t="s">
        <v>1589</v>
      </c>
      <c r="J173" s="14" t="s">
        <v>1590</v>
      </c>
      <c r="K173" s="14" t="s">
        <v>1587</v>
      </c>
      <c r="L173" s="14" t="s">
        <v>1589</v>
      </c>
      <c r="M173" s="14" t="s">
        <v>1592</v>
      </c>
      <c r="N173" s="14" t="s">
        <v>1603</v>
      </c>
      <c r="O173" s="14" t="s">
        <v>1612</v>
      </c>
      <c r="P173" s="14" t="s">
        <v>1627</v>
      </c>
    </row>
    <row r="174" spans="1:16" ht="15" customHeight="1">
      <c r="A174" s="13">
        <v>173</v>
      </c>
      <c r="B174" s="13" t="s">
        <v>488</v>
      </c>
      <c r="C174" s="13" t="s">
        <v>1555</v>
      </c>
      <c r="D174" s="13" t="s">
        <v>1560</v>
      </c>
      <c r="E174" s="13" t="s">
        <v>1573</v>
      </c>
      <c r="F174" s="13" t="s">
        <v>1576</v>
      </c>
      <c r="G174" s="13" t="s">
        <v>1585</v>
      </c>
      <c r="H174" s="13" t="s">
        <v>1587</v>
      </c>
      <c r="I174" s="13" t="s">
        <v>1589</v>
      </c>
      <c r="J174" s="13" t="s">
        <v>1590</v>
      </c>
      <c r="K174" s="13" t="s">
        <v>1589</v>
      </c>
      <c r="L174" s="13" t="s">
        <v>1587</v>
      </c>
      <c r="M174" s="13" t="s">
        <v>1592</v>
      </c>
      <c r="N174" s="13" t="s">
        <v>1603</v>
      </c>
      <c r="O174" s="13" t="s">
        <v>1614</v>
      </c>
      <c r="P174" s="13" t="s">
        <v>1629</v>
      </c>
    </row>
    <row r="175" spans="1:16" ht="15" customHeight="1">
      <c r="A175" s="14">
        <v>174</v>
      </c>
      <c r="B175" s="14" t="s">
        <v>488</v>
      </c>
      <c r="C175" s="14" t="s">
        <v>1552</v>
      </c>
      <c r="D175" s="14" t="s">
        <v>1560</v>
      </c>
      <c r="E175" s="14" t="s">
        <v>1573</v>
      </c>
      <c r="F175" s="14" t="s">
        <v>1574</v>
      </c>
      <c r="G175" s="14" t="s">
        <v>1585</v>
      </c>
      <c r="H175" s="14" t="s">
        <v>1587</v>
      </c>
      <c r="I175" s="14" t="s">
        <v>1590</v>
      </c>
      <c r="J175" s="14" t="s">
        <v>1589</v>
      </c>
      <c r="K175" s="14" t="s">
        <v>1589</v>
      </c>
      <c r="L175" s="14" t="s">
        <v>1587</v>
      </c>
      <c r="M175" s="14" t="s">
        <v>1592</v>
      </c>
      <c r="N175" s="14" t="s">
        <v>1603</v>
      </c>
      <c r="O175" s="14" t="s">
        <v>1613</v>
      </c>
      <c r="P175" s="14" t="s">
        <v>1629</v>
      </c>
    </row>
    <row r="176" spans="1:16" ht="15" customHeight="1">
      <c r="A176" s="13">
        <v>175</v>
      </c>
      <c r="B176" s="13" t="s">
        <v>488</v>
      </c>
      <c r="C176" s="13" t="s">
        <v>1552</v>
      </c>
      <c r="D176" s="13" t="s">
        <v>1560</v>
      </c>
      <c r="E176" s="13" t="s">
        <v>1571</v>
      </c>
      <c r="F176" s="13" t="s">
        <v>1574</v>
      </c>
      <c r="G176" s="13" t="s">
        <v>1586</v>
      </c>
      <c r="H176" s="13" t="s">
        <v>1587</v>
      </c>
      <c r="I176" s="13" t="s">
        <v>1589</v>
      </c>
      <c r="J176" s="13" t="s">
        <v>1589</v>
      </c>
      <c r="K176" s="13" t="s">
        <v>1589</v>
      </c>
      <c r="L176" s="13" t="s">
        <v>1587</v>
      </c>
      <c r="M176" s="13" t="s">
        <v>1592</v>
      </c>
      <c r="N176" s="13" t="s">
        <v>1603</v>
      </c>
      <c r="O176" s="13" t="s">
        <v>1613</v>
      </c>
      <c r="P176" s="13" t="s">
        <v>1626</v>
      </c>
    </row>
    <row r="177" spans="1:16" ht="15" customHeight="1">
      <c r="A177" s="14">
        <v>176</v>
      </c>
      <c r="B177" s="14" t="s">
        <v>488</v>
      </c>
      <c r="C177" s="14" t="s">
        <v>1552</v>
      </c>
      <c r="D177" s="14" t="s">
        <v>1560</v>
      </c>
      <c r="E177" s="14" t="s">
        <v>1573</v>
      </c>
      <c r="F177" s="14" t="s">
        <v>1574</v>
      </c>
      <c r="G177" s="14" t="s">
        <v>1586</v>
      </c>
      <c r="H177" s="14" t="s">
        <v>1587</v>
      </c>
      <c r="I177" s="14" t="s">
        <v>1590</v>
      </c>
      <c r="J177" s="14" t="s">
        <v>1590</v>
      </c>
      <c r="K177" s="14" t="s">
        <v>1587</v>
      </c>
      <c r="L177" s="14" t="s">
        <v>1587</v>
      </c>
      <c r="M177" s="14" t="s">
        <v>1592</v>
      </c>
      <c r="N177" s="14" t="s">
        <v>1603</v>
      </c>
      <c r="O177" s="14" t="s">
        <v>1613</v>
      </c>
      <c r="P177" s="14" t="s">
        <v>1629</v>
      </c>
    </row>
    <row r="178" spans="1:16" ht="15" customHeight="1">
      <c r="A178" s="13">
        <v>177</v>
      </c>
      <c r="B178" s="13" t="s">
        <v>488</v>
      </c>
      <c r="C178" s="13" t="s">
        <v>1559</v>
      </c>
      <c r="D178" s="13" t="s">
        <v>1560</v>
      </c>
      <c r="E178" s="13" t="s">
        <v>1572</v>
      </c>
      <c r="F178" s="13" t="s">
        <v>1577</v>
      </c>
      <c r="G178" s="13" t="s">
        <v>1586</v>
      </c>
      <c r="H178" s="13" t="s">
        <v>1587</v>
      </c>
      <c r="I178" s="13" t="s">
        <v>1590</v>
      </c>
      <c r="J178" s="13" t="s">
        <v>1590</v>
      </c>
      <c r="K178" s="13" t="s">
        <v>1587</v>
      </c>
      <c r="L178" s="13" t="s">
        <v>1587</v>
      </c>
      <c r="M178" s="13" t="s">
        <v>1592</v>
      </c>
      <c r="N178" s="13" t="s">
        <v>1603</v>
      </c>
      <c r="O178" s="13" t="s">
        <v>1614</v>
      </c>
      <c r="P178" s="13" t="s">
        <v>1626</v>
      </c>
    </row>
    <row r="179" spans="1:16" ht="15" customHeight="1">
      <c r="A179" s="14">
        <v>178</v>
      </c>
      <c r="B179" s="14" t="s">
        <v>488</v>
      </c>
      <c r="C179" s="14" t="s">
        <v>1552</v>
      </c>
      <c r="D179" s="14" t="s">
        <v>1560</v>
      </c>
      <c r="E179" s="14" t="s">
        <v>1573</v>
      </c>
      <c r="F179" s="14" t="s">
        <v>1576</v>
      </c>
      <c r="G179" s="14" t="s">
        <v>1586</v>
      </c>
      <c r="H179" s="14" t="s">
        <v>1587</v>
      </c>
      <c r="I179" s="14" t="s">
        <v>1589</v>
      </c>
      <c r="J179" s="14" t="s">
        <v>1590</v>
      </c>
      <c r="K179" s="14" t="s">
        <v>1590</v>
      </c>
      <c r="L179" s="14" t="s">
        <v>1587</v>
      </c>
      <c r="M179" s="14" t="s">
        <v>1597</v>
      </c>
      <c r="N179" s="14" t="s">
        <v>1606</v>
      </c>
      <c r="O179" s="14" t="s">
        <v>1613</v>
      </c>
      <c r="P179" s="14" t="s">
        <v>1629</v>
      </c>
    </row>
    <row r="180" spans="1:16" ht="15" customHeight="1">
      <c r="A180" s="13">
        <v>179</v>
      </c>
      <c r="B180" s="13" t="s">
        <v>488</v>
      </c>
      <c r="C180" s="13" t="s">
        <v>1556</v>
      </c>
      <c r="D180" s="13" t="s">
        <v>1560</v>
      </c>
      <c r="E180" s="13" t="s">
        <v>1573</v>
      </c>
      <c r="F180" s="13" t="s">
        <v>1576</v>
      </c>
      <c r="G180" s="13" t="s">
        <v>1585</v>
      </c>
      <c r="H180" s="13" t="s">
        <v>1589</v>
      </c>
      <c r="I180" s="13" t="s">
        <v>1589</v>
      </c>
      <c r="J180" s="13" t="s">
        <v>1589</v>
      </c>
      <c r="K180" s="13" t="s">
        <v>1589</v>
      </c>
      <c r="L180" s="13" t="s">
        <v>1587</v>
      </c>
      <c r="M180" s="13" t="s">
        <v>1592</v>
      </c>
      <c r="N180" s="13" t="s">
        <v>1603</v>
      </c>
      <c r="O180" s="13" t="s">
        <v>1612</v>
      </c>
      <c r="P180" s="13" t="s">
        <v>1629</v>
      </c>
    </row>
    <row r="181" spans="1:16" ht="15" customHeight="1">
      <c r="A181" s="14">
        <v>180</v>
      </c>
      <c r="B181" s="14" t="s">
        <v>488</v>
      </c>
      <c r="C181" s="14" t="s">
        <v>1552</v>
      </c>
      <c r="D181" s="14" t="s">
        <v>1560</v>
      </c>
      <c r="E181" s="14" t="s">
        <v>1573</v>
      </c>
      <c r="F181" s="14" t="s">
        <v>1574</v>
      </c>
      <c r="G181" s="14" t="s">
        <v>1585</v>
      </c>
      <c r="H181" s="14" t="s">
        <v>1587</v>
      </c>
      <c r="I181" s="14" t="s">
        <v>1589</v>
      </c>
      <c r="J181" s="14" t="s">
        <v>1590</v>
      </c>
      <c r="K181" s="14" t="s">
        <v>1587</v>
      </c>
      <c r="L181" s="14" t="s">
        <v>1587</v>
      </c>
      <c r="M181" s="14" t="s">
        <v>1592</v>
      </c>
      <c r="N181" s="14" t="s">
        <v>1603</v>
      </c>
      <c r="O181" s="14" t="s">
        <v>1613</v>
      </c>
      <c r="P181" s="14" t="s">
        <v>1629</v>
      </c>
    </row>
    <row r="182" spans="1:16" ht="15" customHeight="1">
      <c r="A182" s="13">
        <v>181</v>
      </c>
      <c r="B182" s="13" t="s">
        <v>488</v>
      </c>
      <c r="C182" s="13" t="s">
        <v>1552</v>
      </c>
      <c r="D182" s="13" t="s">
        <v>1563</v>
      </c>
      <c r="E182" s="13" t="s">
        <v>1573</v>
      </c>
      <c r="F182" s="13" t="s">
        <v>1574</v>
      </c>
      <c r="G182" s="13" t="s">
        <v>1585</v>
      </c>
      <c r="H182" s="13" t="s">
        <v>1587</v>
      </c>
      <c r="I182" s="13" t="s">
        <v>1590</v>
      </c>
      <c r="J182" s="13" t="s">
        <v>1590</v>
      </c>
      <c r="K182" s="13" t="s">
        <v>1587</v>
      </c>
      <c r="L182" s="13" t="s">
        <v>1587</v>
      </c>
      <c r="M182" s="13" t="s">
        <v>1592</v>
      </c>
      <c r="N182" s="13" t="s">
        <v>1603</v>
      </c>
      <c r="O182" s="13" t="s">
        <v>1613</v>
      </c>
      <c r="P182" s="13" t="s">
        <v>1626</v>
      </c>
    </row>
    <row r="183" spans="1:16" ht="15" customHeight="1">
      <c r="A183" s="14">
        <v>182</v>
      </c>
      <c r="B183" s="14" t="s">
        <v>337</v>
      </c>
      <c r="C183" s="14" t="s">
        <v>1552</v>
      </c>
      <c r="D183" s="14" t="s">
        <v>1560</v>
      </c>
      <c r="E183" s="14" t="s">
        <v>1573</v>
      </c>
      <c r="F183" s="14" t="s">
        <v>1574</v>
      </c>
      <c r="G183" s="14" t="s">
        <v>1586</v>
      </c>
      <c r="H183" s="14" t="s">
        <v>1587</v>
      </c>
      <c r="I183" s="14" t="s">
        <v>1590</v>
      </c>
      <c r="J183" s="14" t="s">
        <v>1590</v>
      </c>
      <c r="K183" s="14" t="s">
        <v>1587</v>
      </c>
      <c r="L183" s="14" t="s">
        <v>1589</v>
      </c>
      <c r="M183" s="14" t="s">
        <v>1592</v>
      </c>
      <c r="N183" s="14" t="s">
        <v>1605</v>
      </c>
      <c r="O183" s="14" t="s">
        <v>1610</v>
      </c>
      <c r="P183" s="14" t="s">
        <v>1623</v>
      </c>
    </row>
    <row r="184" spans="1:16" ht="15" customHeight="1">
      <c r="A184" s="13">
        <v>183</v>
      </c>
      <c r="B184" s="13" t="s">
        <v>337</v>
      </c>
      <c r="C184" s="13" t="s">
        <v>1552</v>
      </c>
      <c r="D184" s="13" t="s">
        <v>1560</v>
      </c>
      <c r="E184" s="13" t="s">
        <v>1573</v>
      </c>
      <c r="F184" s="13" t="s">
        <v>1577</v>
      </c>
      <c r="G184" s="13" t="s">
        <v>1586</v>
      </c>
      <c r="H184" s="13" t="s">
        <v>1589</v>
      </c>
      <c r="I184" s="13" t="s">
        <v>1589</v>
      </c>
      <c r="J184" s="13" t="s">
        <v>1590</v>
      </c>
      <c r="K184" s="13" t="s">
        <v>1587</v>
      </c>
      <c r="L184" s="13" t="s">
        <v>1589</v>
      </c>
      <c r="M184" s="13" t="s">
        <v>1597</v>
      </c>
      <c r="N184" s="13" t="s">
        <v>1605</v>
      </c>
      <c r="O184" s="13" t="s">
        <v>1612</v>
      </c>
      <c r="P184" s="13" t="s">
        <v>1623</v>
      </c>
    </row>
    <row r="185" spans="1:16" ht="15" customHeight="1">
      <c r="A185" s="14">
        <v>184</v>
      </c>
      <c r="B185" s="14" t="s">
        <v>337</v>
      </c>
      <c r="C185" s="14" t="s">
        <v>1552</v>
      </c>
      <c r="D185" s="14" t="s">
        <v>1560</v>
      </c>
      <c r="E185" s="14" t="s">
        <v>1573</v>
      </c>
      <c r="F185" s="14" t="s">
        <v>1574</v>
      </c>
      <c r="G185" s="14" t="s">
        <v>1586</v>
      </c>
      <c r="H185" s="14" t="s">
        <v>1587</v>
      </c>
      <c r="I185" s="14" t="s">
        <v>1590</v>
      </c>
      <c r="J185" s="14" t="s">
        <v>1590</v>
      </c>
      <c r="K185" s="14" t="s">
        <v>1589</v>
      </c>
      <c r="L185" s="14" t="s">
        <v>1590</v>
      </c>
      <c r="M185" s="14" t="s">
        <v>1592</v>
      </c>
      <c r="N185" s="14" t="s">
        <v>1605</v>
      </c>
      <c r="O185" s="14" t="s">
        <v>1610</v>
      </c>
      <c r="P185" s="14" t="s">
        <v>1623</v>
      </c>
    </row>
    <row r="186" spans="1:16" ht="15" customHeight="1">
      <c r="A186" s="13">
        <v>185</v>
      </c>
      <c r="B186" s="13" t="s">
        <v>337</v>
      </c>
      <c r="C186" s="13" t="s">
        <v>1552</v>
      </c>
      <c r="D186" s="13" t="s">
        <v>1563</v>
      </c>
      <c r="E186" s="13" t="s">
        <v>1572</v>
      </c>
      <c r="F186" s="13" t="s">
        <v>1577</v>
      </c>
      <c r="G186" s="13" t="s">
        <v>1586</v>
      </c>
      <c r="H186" s="13" t="s">
        <v>1587</v>
      </c>
      <c r="I186" s="13" t="s">
        <v>1590</v>
      </c>
      <c r="J186" s="13" t="s">
        <v>1590</v>
      </c>
      <c r="K186" s="13" t="s">
        <v>1587</v>
      </c>
      <c r="L186" s="13" t="s">
        <v>1589</v>
      </c>
      <c r="M186" s="13" t="s">
        <v>1592</v>
      </c>
      <c r="N186" s="13" t="s">
        <v>1606</v>
      </c>
      <c r="O186" s="13" t="s">
        <v>1610</v>
      </c>
      <c r="P186" s="13" t="s">
        <v>1623</v>
      </c>
    </row>
    <row r="187" spans="1:16" ht="15" customHeight="1">
      <c r="A187" s="14">
        <v>186</v>
      </c>
      <c r="B187" s="14" t="s">
        <v>337</v>
      </c>
      <c r="C187" s="14" t="s">
        <v>1558</v>
      </c>
      <c r="D187" s="14" t="s">
        <v>1560</v>
      </c>
      <c r="E187" s="14" t="s">
        <v>1573</v>
      </c>
      <c r="F187" s="14" t="s">
        <v>1577</v>
      </c>
      <c r="G187" s="14" t="s">
        <v>1586</v>
      </c>
      <c r="H187" s="14" t="s">
        <v>1587</v>
      </c>
      <c r="I187" s="14" t="s">
        <v>1590</v>
      </c>
      <c r="J187" s="14" t="s">
        <v>1590</v>
      </c>
      <c r="K187" s="14" t="s">
        <v>1587</v>
      </c>
      <c r="L187" s="14" t="s">
        <v>1587</v>
      </c>
      <c r="M187" s="14" t="s">
        <v>1592</v>
      </c>
      <c r="N187" s="14" t="s">
        <v>1605</v>
      </c>
      <c r="O187" s="14" t="s">
        <v>1610</v>
      </c>
      <c r="P187" s="14" t="s">
        <v>1623</v>
      </c>
    </row>
    <row r="188" spans="1:16" ht="15" customHeight="1">
      <c r="A188" s="13">
        <v>187</v>
      </c>
      <c r="B188" s="13" t="s">
        <v>337</v>
      </c>
      <c r="C188" s="13" t="s">
        <v>1552</v>
      </c>
      <c r="D188" s="13" t="s">
        <v>1560</v>
      </c>
      <c r="E188" s="13" t="s">
        <v>1573</v>
      </c>
      <c r="F188" s="13" t="s">
        <v>1577</v>
      </c>
      <c r="G188" s="13" t="s">
        <v>1586</v>
      </c>
      <c r="H188" s="13" t="s">
        <v>1587</v>
      </c>
      <c r="I188" s="13" t="s">
        <v>1590</v>
      </c>
      <c r="J188" s="13" t="s">
        <v>1590</v>
      </c>
      <c r="K188" s="13" t="s">
        <v>1587</v>
      </c>
      <c r="L188" s="13" t="s">
        <v>1587</v>
      </c>
      <c r="M188" s="13" t="s">
        <v>1592</v>
      </c>
      <c r="N188" s="13" t="s">
        <v>1606</v>
      </c>
      <c r="O188" s="13" t="s">
        <v>1613</v>
      </c>
      <c r="P188" s="13" t="s">
        <v>1623</v>
      </c>
    </row>
    <row r="189" spans="1:16" ht="15" customHeight="1">
      <c r="A189" s="14">
        <v>188</v>
      </c>
      <c r="B189" s="14" t="s">
        <v>337</v>
      </c>
      <c r="C189" s="14" t="s">
        <v>1555</v>
      </c>
      <c r="D189" s="14" t="s">
        <v>1560</v>
      </c>
      <c r="E189" s="14" t="s">
        <v>1573</v>
      </c>
      <c r="F189" s="14" t="s">
        <v>1574</v>
      </c>
      <c r="G189" s="14" t="s">
        <v>1586</v>
      </c>
      <c r="H189" s="14" t="s">
        <v>1587</v>
      </c>
      <c r="I189" s="14" t="s">
        <v>1590</v>
      </c>
      <c r="J189" s="14" t="s">
        <v>1590</v>
      </c>
      <c r="K189" s="14" t="s">
        <v>1587</v>
      </c>
      <c r="L189" s="14" t="s">
        <v>1590</v>
      </c>
      <c r="M189" s="14" t="s">
        <v>1592</v>
      </c>
      <c r="N189" s="14" t="s">
        <v>1605</v>
      </c>
      <c r="O189" s="14" t="s">
        <v>1610</v>
      </c>
      <c r="P189" s="14" t="s">
        <v>1626</v>
      </c>
    </row>
    <row r="190" spans="1:16" ht="15" customHeight="1">
      <c r="A190" s="13">
        <v>189</v>
      </c>
      <c r="B190" s="13" t="s">
        <v>337</v>
      </c>
      <c r="C190" s="13" t="s">
        <v>1559</v>
      </c>
      <c r="D190" s="13" t="s">
        <v>1560</v>
      </c>
      <c r="E190" s="13" t="s">
        <v>1573</v>
      </c>
      <c r="F190" s="13" t="s">
        <v>1574</v>
      </c>
      <c r="G190" s="13" t="s">
        <v>1586</v>
      </c>
      <c r="H190" s="13" t="s">
        <v>1587</v>
      </c>
      <c r="I190" s="13" t="s">
        <v>1589</v>
      </c>
      <c r="J190" s="13" t="s">
        <v>1590</v>
      </c>
      <c r="K190" s="13" t="s">
        <v>1587</v>
      </c>
      <c r="L190" s="13" t="s">
        <v>1590</v>
      </c>
      <c r="M190" s="13" t="s">
        <v>1592</v>
      </c>
      <c r="N190" s="13" t="s">
        <v>1605</v>
      </c>
      <c r="O190" s="13" t="s">
        <v>1610</v>
      </c>
      <c r="P190" s="13" t="s">
        <v>1628</v>
      </c>
    </row>
    <row r="191" spans="1:16" ht="15" customHeight="1">
      <c r="A191" s="14">
        <v>190</v>
      </c>
      <c r="B191" s="14" t="s">
        <v>337</v>
      </c>
      <c r="C191" s="14" t="s">
        <v>1552</v>
      </c>
      <c r="D191" s="14" t="s">
        <v>1560</v>
      </c>
      <c r="E191" s="14" t="s">
        <v>1573</v>
      </c>
      <c r="F191" s="14" t="s">
        <v>1577</v>
      </c>
      <c r="G191" s="14" t="s">
        <v>1586</v>
      </c>
      <c r="H191" s="14" t="s">
        <v>1587</v>
      </c>
      <c r="I191" s="14" t="s">
        <v>1589</v>
      </c>
      <c r="J191" s="14" t="s">
        <v>1590</v>
      </c>
      <c r="K191" s="14" t="s">
        <v>1589</v>
      </c>
      <c r="L191" s="14" t="s">
        <v>1589</v>
      </c>
      <c r="M191" s="14" t="s">
        <v>1592</v>
      </c>
      <c r="N191" s="14" t="s">
        <v>1605</v>
      </c>
      <c r="O191" s="14" t="s">
        <v>1613</v>
      </c>
      <c r="P191" s="14" t="s">
        <v>1623</v>
      </c>
    </row>
    <row r="192" spans="1:16" ht="15" customHeight="1">
      <c r="A192" s="13">
        <v>191</v>
      </c>
      <c r="B192" s="13" t="s">
        <v>337</v>
      </c>
      <c r="C192" s="13" t="s">
        <v>1552</v>
      </c>
      <c r="D192" s="13" t="s">
        <v>1560</v>
      </c>
      <c r="E192" s="13" t="s">
        <v>1573</v>
      </c>
      <c r="F192" s="13" t="s">
        <v>1577</v>
      </c>
      <c r="G192" s="13" t="s">
        <v>1586</v>
      </c>
      <c r="H192" s="13" t="s">
        <v>1587</v>
      </c>
      <c r="I192" s="13" t="s">
        <v>1590</v>
      </c>
      <c r="J192" s="13" t="s">
        <v>1590</v>
      </c>
      <c r="K192" s="13" t="s">
        <v>1589</v>
      </c>
      <c r="L192" s="13" t="s">
        <v>1587</v>
      </c>
      <c r="M192" s="13" t="s">
        <v>1592</v>
      </c>
      <c r="N192" s="13" t="s">
        <v>1605</v>
      </c>
      <c r="O192" s="13" t="s">
        <v>1610</v>
      </c>
      <c r="P192" s="13" t="s">
        <v>1623</v>
      </c>
    </row>
    <row r="193" spans="1:16" ht="15" customHeight="1">
      <c r="A193" s="14">
        <v>192</v>
      </c>
      <c r="B193" s="14" t="s">
        <v>337</v>
      </c>
      <c r="C193" s="14" t="s">
        <v>1552</v>
      </c>
      <c r="D193" s="14" t="s">
        <v>1560</v>
      </c>
      <c r="E193" s="14" t="s">
        <v>1573</v>
      </c>
      <c r="F193" s="14" t="s">
        <v>1576</v>
      </c>
      <c r="G193" s="14" t="s">
        <v>1586</v>
      </c>
      <c r="H193" s="14" t="s">
        <v>1587</v>
      </c>
      <c r="I193" s="14" t="s">
        <v>1590</v>
      </c>
      <c r="J193" s="14" t="s">
        <v>1590</v>
      </c>
      <c r="K193" s="14" t="s">
        <v>1589</v>
      </c>
      <c r="L193" s="14" t="s">
        <v>1590</v>
      </c>
      <c r="M193" s="14" t="s">
        <v>1592</v>
      </c>
      <c r="N193" s="14" t="s">
        <v>1605</v>
      </c>
      <c r="O193" s="14" t="s">
        <v>1610</v>
      </c>
      <c r="P193" s="14" t="s">
        <v>1623</v>
      </c>
    </row>
    <row r="194" spans="1:16" ht="15" customHeight="1">
      <c r="A194" s="13">
        <v>193</v>
      </c>
      <c r="B194" s="13" t="s">
        <v>337</v>
      </c>
      <c r="C194" s="13" t="s">
        <v>1552</v>
      </c>
      <c r="D194" s="13" t="s">
        <v>1560</v>
      </c>
      <c r="E194" s="13" t="s">
        <v>1572</v>
      </c>
      <c r="F194" s="13" t="s">
        <v>1574</v>
      </c>
      <c r="G194" s="13" t="s">
        <v>1586</v>
      </c>
      <c r="H194" s="13" t="s">
        <v>1589</v>
      </c>
      <c r="I194" s="13" t="s">
        <v>1590</v>
      </c>
      <c r="J194" s="13" t="s">
        <v>1590</v>
      </c>
      <c r="K194" s="13" t="s">
        <v>1587</v>
      </c>
      <c r="L194" s="13" t="s">
        <v>1590</v>
      </c>
      <c r="M194" s="13" t="s">
        <v>1592</v>
      </c>
      <c r="N194" s="13" t="s">
        <v>1605</v>
      </c>
      <c r="O194" s="13" t="s">
        <v>1612</v>
      </c>
      <c r="P194" s="13" t="s">
        <v>1623</v>
      </c>
    </row>
    <row r="195" spans="1:16" ht="15" customHeight="1">
      <c r="A195" s="14">
        <v>194</v>
      </c>
      <c r="B195" s="14" t="s">
        <v>337</v>
      </c>
      <c r="C195" s="14" t="s">
        <v>1552</v>
      </c>
      <c r="D195" s="14" t="s">
        <v>1560</v>
      </c>
      <c r="E195" s="14" t="s">
        <v>1573</v>
      </c>
      <c r="F195" s="14" t="s">
        <v>1574</v>
      </c>
      <c r="G195" s="14" t="s">
        <v>1586</v>
      </c>
      <c r="H195" s="14" t="s">
        <v>1587</v>
      </c>
      <c r="I195" s="14" t="s">
        <v>1590</v>
      </c>
      <c r="J195" s="14" t="s">
        <v>1590</v>
      </c>
      <c r="K195" s="14" t="s">
        <v>1587</v>
      </c>
      <c r="L195" s="14" t="s">
        <v>1590</v>
      </c>
      <c r="M195" s="14" t="s">
        <v>1592</v>
      </c>
      <c r="N195" s="14" t="s">
        <v>1603</v>
      </c>
      <c r="O195" s="14" t="s">
        <v>1613</v>
      </c>
      <c r="P195" s="14" t="s">
        <v>1623</v>
      </c>
    </row>
    <row r="196" spans="1:16" ht="15" customHeight="1">
      <c r="A196" s="13">
        <v>195</v>
      </c>
      <c r="B196" s="13" t="s">
        <v>337</v>
      </c>
      <c r="C196" s="13" t="s">
        <v>1552</v>
      </c>
      <c r="D196" s="13" t="s">
        <v>1560</v>
      </c>
      <c r="E196" s="13" t="s">
        <v>1572</v>
      </c>
      <c r="F196" s="13" t="s">
        <v>1574</v>
      </c>
      <c r="G196" s="13" t="s">
        <v>1586</v>
      </c>
      <c r="H196" s="13" t="s">
        <v>1587</v>
      </c>
      <c r="I196" s="13" t="s">
        <v>1590</v>
      </c>
      <c r="J196" s="13" t="s">
        <v>1590</v>
      </c>
      <c r="K196" s="13" t="s">
        <v>1587</v>
      </c>
      <c r="L196" s="13" t="s">
        <v>1590</v>
      </c>
      <c r="M196" s="13" t="s">
        <v>1592</v>
      </c>
      <c r="N196" s="13" t="s">
        <v>1605</v>
      </c>
      <c r="O196" s="13" t="s">
        <v>1610</v>
      </c>
      <c r="P196" s="13" t="s">
        <v>1623</v>
      </c>
    </row>
    <row r="197" spans="1:16" ht="15" customHeight="1">
      <c r="A197" s="14">
        <v>196</v>
      </c>
      <c r="B197" s="14" t="s">
        <v>337</v>
      </c>
      <c r="C197" s="14" t="s">
        <v>1559</v>
      </c>
      <c r="D197" s="14" t="s">
        <v>1563</v>
      </c>
      <c r="E197" s="14" t="s">
        <v>1573</v>
      </c>
      <c r="F197" s="14" t="s">
        <v>1576</v>
      </c>
      <c r="G197" s="14" t="s">
        <v>1585</v>
      </c>
      <c r="H197" s="14" t="s">
        <v>1587</v>
      </c>
      <c r="I197" s="14" t="s">
        <v>1590</v>
      </c>
      <c r="J197" s="14" t="s">
        <v>1590</v>
      </c>
      <c r="K197" s="14" t="s">
        <v>1587</v>
      </c>
      <c r="L197" s="14" t="s">
        <v>1590</v>
      </c>
      <c r="M197" s="14" t="s">
        <v>1592</v>
      </c>
      <c r="N197" s="14" t="s">
        <v>1605</v>
      </c>
      <c r="O197" s="14" t="s">
        <v>1610</v>
      </c>
      <c r="P197" s="14" t="s">
        <v>1623</v>
      </c>
    </row>
    <row r="198" spans="1:16" ht="15" customHeight="1">
      <c r="A198" s="13">
        <v>197</v>
      </c>
      <c r="B198" s="13" t="s">
        <v>337</v>
      </c>
      <c r="C198" s="13" t="s">
        <v>1552</v>
      </c>
      <c r="D198" s="13" t="s">
        <v>1560</v>
      </c>
      <c r="E198" s="13" t="s">
        <v>1573</v>
      </c>
      <c r="F198" s="13" t="s">
        <v>1574</v>
      </c>
      <c r="G198" s="13" t="s">
        <v>1586</v>
      </c>
      <c r="H198" s="13" t="s">
        <v>1587</v>
      </c>
      <c r="I198" s="13" t="s">
        <v>1590</v>
      </c>
      <c r="J198" s="13" t="s">
        <v>1589</v>
      </c>
      <c r="K198" s="13" t="s">
        <v>1587</v>
      </c>
      <c r="L198" s="13" t="s">
        <v>1587</v>
      </c>
      <c r="M198" s="13" t="s">
        <v>1592</v>
      </c>
      <c r="N198" s="13" t="s">
        <v>1605</v>
      </c>
      <c r="O198" s="13" t="s">
        <v>1610</v>
      </c>
      <c r="P198" s="13" t="s">
        <v>1626</v>
      </c>
    </row>
    <row r="199" spans="1:16" ht="15" customHeight="1">
      <c r="A199" s="14">
        <v>198</v>
      </c>
      <c r="B199" s="14" t="s">
        <v>337</v>
      </c>
      <c r="C199" s="14" t="s">
        <v>1552</v>
      </c>
      <c r="D199" s="14" t="s">
        <v>1560</v>
      </c>
      <c r="E199" s="14" t="s">
        <v>1572</v>
      </c>
      <c r="F199" s="14" t="s">
        <v>1574</v>
      </c>
      <c r="G199" s="14" t="s">
        <v>1586</v>
      </c>
      <c r="H199" s="14" t="s">
        <v>1587</v>
      </c>
      <c r="I199" s="14" t="s">
        <v>1589</v>
      </c>
      <c r="J199" s="14" t="s">
        <v>1590</v>
      </c>
      <c r="K199" s="14" t="s">
        <v>1587</v>
      </c>
      <c r="L199" s="14" t="s">
        <v>1590</v>
      </c>
      <c r="M199" s="14" t="s">
        <v>1595</v>
      </c>
      <c r="N199" s="14" t="s">
        <v>1606</v>
      </c>
      <c r="O199" s="14" t="s">
        <v>1610</v>
      </c>
      <c r="P199" s="14" t="s">
        <v>1623</v>
      </c>
    </row>
    <row r="200" spans="1:16" ht="15" customHeight="1">
      <c r="A200" s="13">
        <v>199</v>
      </c>
      <c r="B200" s="13" t="s">
        <v>337</v>
      </c>
      <c r="C200" s="13" t="s">
        <v>1552</v>
      </c>
      <c r="D200" s="13" t="s">
        <v>1560</v>
      </c>
      <c r="E200" s="13" t="s">
        <v>1572</v>
      </c>
      <c r="F200" s="13" t="s">
        <v>1576</v>
      </c>
      <c r="G200" s="13" t="s">
        <v>1586</v>
      </c>
      <c r="H200" s="13" t="s">
        <v>1587</v>
      </c>
      <c r="I200" s="13" t="s">
        <v>1590</v>
      </c>
      <c r="J200" s="13" t="s">
        <v>1590</v>
      </c>
      <c r="K200" s="13" t="s">
        <v>1587</v>
      </c>
      <c r="L200" s="13" t="s">
        <v>1590</v>
      </c>
      <c r="M200" s="13" t="s">
        <v>1592</v>
      </c>
      <c r="N200" s="13" t="s">
        <v>1605</v>
      </c>
      <c r="O200" s="13" t="s">
        <v>1612</v>
      </c>
      <c r="P200" s="13" t="s">
        <v>1623</v>
      </c>
    </row>
    <row r="201" spans="1:16" ht="15" customHeight="1">
      <c r="A201" s="14">
        <v>200</v>
      </c>
      <c r="B201" s="14" t="s">
        <v>337</v>
      </c>
      <c r="C201" s="14" t="s">
        <v>1552</v>
      </c>
      <c r="D201" s="14" t="s">
        <v>1560</v>
      </c>
      <c r="E201" s="14" t="s">
        <v>1573</v>
      </c>
      <c r="F201" s="14" t="s">
        <v>1574</v>
      </c>
      <c r="G201" s="14" t="s">
        <v>1585</v>
      </c>
      <c r="H201" s="14" t="s">
        <v>1587</v>
      </c>
      <c r="I201" s="14" t="s">
        <v>1589</v>
      </c>
      <c r="J201" s="14" t="s">
        <v>1590</v>
      </c>
      <c r="K201" s="14" t="s">
        <v>1587</v>
      </c>
      <c r="L201" s="14" t="s">
        <v>1590</v>
      </c>
      <c r="M201" s="14" t="s">
        <v>1592</v>
      </c>
      <c r="N201" s="14" t="s">
        <v>1605</v>
      </c>
      <c r="O201" s="14" t="s">
        <v>1610</v>
      </c>
      <c r="P201" s="14" t="s">
        <v>1623</v>
      </c>
    </row>
    <row r="202" spans="1:16" ht="15" customHeight="1">
      <c r="A202" s="13">
        <v>201</v>
      </c>
      <c r="B202" s="13" t="s">
        <v>337</v>
      </c>
      <c r="C202" s="13" t="s">
        <v>1552</v>
      </c>
      <c r="D202" s="13" t="s">
        <v>1563</v>
      </c>
      <c r="E202" s="13" t="s">
        <v>1573</v>
      </c>
      <c r="F202" s="13" t="s">
        <v>1574</v>
      </c>
      <c r="G202" s="13" t="s">
        <v>1583</v>
      </c>
      <c r="H202" s="13" t="s">
        <v>1587</v>
      </c>
      <c r="I202" s="13" t="s">
        <v>1590</v>
      </c>
      <c r="J202" s="13" t="s">
        <v>1590</v>
      </c>
      <c r="K202" s="13" t="s">
        <v>1589</v>
      </c>
      <c r="L202" s="13" t="s">
        <v>1590</v>
      </c>
      <c r="M202" s="13" t="s">
        <v>1592</v>
      </c>
      <c r="N202" s="13" t="s">
        <v>1605</v>
      </c>
      <c r="O202" s="13" t="s">
        <v>1610</v>
      </c>
      <c r="P202" s="13" t="s">
        <v>1623</v>
      </c>
    </row>
    <row r="203" spans="1:16" ht="15" customHeight="1">
      <c r="A203" s="14">
        <v>202</v>
      </c>
      <c r="B203" s="14" t="s">
        <v>337</v>
      </c>
      <c r="C203" s="14" t="s">
        <v>1552</v>
      </c>
      <c r="D203" s="14" t="s">
        <v>1563</v>
      </c>
      <c r="E203" s="14" t="s">
        <v>1573</v>
      </c>
      <c r="F203" s="14" t="s">
        <v>1577</v>
      </c>
      <c r="G203" s="14" t="s">
        <v>1586</v>
      </c>
      <c r="H203" s="14" t="s">
        <v>1587</v>
      </c>
      <c r="I203" s="14" t="s">
        <v>1589</v>
      </c>
      <c r="J203" s="14" t="s">
        <v>1590</v>
      </c>
      <c r="K203" s="14" t="s">
        <v>1587</v>
      </c>
      <c r="L203" s="14" t="s">
        <v>1587</v>
      </c>
      <c r="M203" s="14" t="s">
        <v>1592</v>
      </c>
      <c r="N203" s="14" t="s">
        <v>1605</v>
      </c>
      <c r="O203" s="14" t="s">
        <v>1612</v>
      </c>
      <c r="P203" s="14" t="s">
        <v>1626</v>
      </c>
    </row>
    <row r="204" spans="1:16" ht="15" customHeight="1">
      <c r="A204" s="13">
        <v>203</v>
      </c>
      <c r="B204" s="13" t="s">
        <v>337</v>
      </c>
      <c r="C204" s="13" t="s">
        <v>1552</v>
      </c>
      <c r="D204" s="13" t="s">
        <v>1560</v>
      </c>
      <c r="E204" s="13" t="s">
        <v>1573</v>
      </c>
      <c r="F204" s="13" t="s">
        <v>1574</v>
      </c>
      <c r="G204" s="13" t="s">
        <v>1586</v>
      </c>
      <c r="H204" s="13" t="s">
        <v>1587</v>
      </c>
      <c r="I204" s="13" t="s">
        <v>1589</v>
      </c>
      <c r="J204" s="13" t="s">
        <v>1590</v>
      </c>
      <c r="K204" s="13" t="s">
        <v>1587</v>
      </c>
      <c r="L204" s="13" t="s">
        <v>1590</v>
      </c>
      <c r="M204" s="13" t="s">
        <v>1592</v>
      </c>
      <c r="N204" s="13" t="s">
        <v>1605</v>
      </c>
      <c r="O204" s="13" t="s">
        <v>1612</v>
      </c>
      <c r="P204" s="13" t="s">
        <v>1623</v>
      </c>
    </row>
    <row r="205" spans="1:16" ht="15" customHeight="1">
      <c r="A205" s="14">
        <v>204</v>
      </c>
      <c r="B205" s="14" t="s">
        <v>337</v>
      </c>
      <c r="C205" s="14" t="s">
        <v>1555</v>
      </c>
      <c r="D205" s="14" t="s">
        <v>1560</v>
      </c>
      <c r="E205" s="14" t="s">
        <v>1573</v>
      </c>
      <c r="F205" s="14" t="s">
        <v>1577</v>
      </c>
      <c r="G205" s="14" t="s">
        <v>1585</v>
      </c>
      <c r="H205" s="14" t="s">
        <v>1587</v>
      </c>
      <c r="I205" s="14" t="s">
        <v>1590</v>
      </c>
      <c r="J205" s="14" t="s">
        <v>1590</v>
      </c>
      <c r="K205" s="14" t="s">
        <v>1587</v>
      </c>
      <c r="L205" s="14" t="s">
        <v>1590</v>
      </c>
      <c r="M205" s="14" t="s">
        <v>1592</v>
      </c>
      <c r="N205" s="14" t="s">
        <v>1605</v>
      </c>
      <c r="O205" s="14" t="s">
        <v>1612</v>
      </c>
      <c r="P205" s="14" t="s">
        <v>1623</v>
      </c>
    </row>
    <row r="206" spans="1:16" ht="15" customHeight="1">
      <c r="A206" s="13">
        <v>205</v>
      </c>
      <c r="B206" s="13" t="s">
        <v>337</v>
      </c>
      <c r="C206" s="13" t="s">
        <v>1552</v>
      </c>
      <c r="D206" s="13" t="s">
        <v>1560</v>
      </c>
      <c r="E206" s="13" t="s">
        <v>1572</v>
      </c>
      <c r="F206" s="13" t="s">
        <v>1574</v>
      </c>
      <c r="G206" s="13" t="s">
        <v>1586</v>
      </c>
      <c r="H206" s="13" t="s">
        <v>1587</v>
      </c>
      <c r="I206" s="13" t="s">
        <v>1590</v>
      </c>
      <c r="J206" s="13" t="s">
        <v>1590</v>
      </c>
      <c r="K206" s="13" t="s">
        <v>1587</v>
      </c>
      <c r="L206" s="13" t="s">
        <v>1589</v>
      </c>
      <c r="M206" s="13" t="s">
        <v>1592</v>
      </c>
      <c r="N206" s="13" t="s">
        <v>1605</v>
      </c>
      <c r="O206" s="13" t="s">
        <v>1610</v>
      </c>
      <c r="P206" s="13" t="s">
        <v>1623</v>
      </c>
    </row>
    <row r="207" spans="1:16" ht="15" customHeight="1">
      <c r="A207" s="14">
        <v>206</v>
      </c>
      <c r="B207" s="14" t="s">
        <v>337</v>
      </c>
      <c r="C207" s="14" t="s">
        <v>1552</v>
      </c>
      <c r="D207" s="14" t="s">
        <v>1560</v>
      </c>
      <c r="E207" s="14" t="s">
        <v>1573</v>
      </c>
      <c r="F207" s="14" t="s">
        <v>1576</v>
      </c>
      <c r="G207" s="14" t="s">
        <v>1586</v>
      </c>
      <c r="H207" s="14" t="s">
        <v>1587</v>
      </c>
      <c r="I207" s="14" t="s">
        <v>1590</v>
      </c>
      <c r="J207" s="14" t="s">
        <v>1590</v>
      </c>
      <c r="K207" s="14" t="s">
        <v>1587</v>
      </c>
      <c r="L207" s="14" t="s">
        <v>1590</v>
      </c>
      <c r="M207" s="14" t="s">
        <v>1592</v>
      </c>
      <c r="N207" s="14" t="s">
        <v>1605</v>
      </c>
      <c r="O207" s="14" t="s">
        <v>1614</v>
      </c>
      <c r="P207" s="14" t="s">
        <v>1628</v>
      </c>
    </row>
    <row r="208" spans="1:16" ht="15" customHeight="1">
      <c r="A208" s="13">
        <v>207</v>
      </c>
      <c r="B208" s="13" t="s">
        <v>337</v>
      </c>
      <c r="C208" s="13" t="s">
        <v>1552</v>
      </c>
      <c r="D208" s="13" t="s">
        <v>1563</v>
      </c>
      <c r="E208" s="13" t="s">
        <v>1573</v>
      </c>
      <c r="F208" s="13" t="s">
        <v>1577</v>
      </c>
      <c r="G208" s="13" t="s">
        <v>1586</v>
      </c>
      <c r="H208" s="13" t="s">
        <v>1587</v>
      </c>
      <c r="I208" s="13" t="s">
        <v>1590</v>
      </c>
      <c r="J208" s="13" t="s">
        <v>1590</v>
      </c>
      <c r="K208" s="13" t="s">
        <v>1589</v>
      </c>
      <c r="L208" s="13" t="s">
        <v>1590</v>
      </c>
      <c r="M208" s="13" t="s">
        <v>1592</v>
      </c>
      <c r="N208" s="13" t="s">
        <v>1606</v>
      </c>
      <c r="O208" s="13" t="s">
        <v>1610</v>
      </c>
      <c r="P208" s="13" t="s">
        <v>1623</v>
      </c>
    </row>
    <row r="209" spans="1:16" ht="15" customHeight="1">
      <c r="A209" s="14">
        <v>208</v>
      </c>
      <c r="B209" s="14" t="s">
        <v>337</v>
      </c>
      <c r="C209" s="14" t="s">
        <v>1552</v>
      </c>
      <c r="D209" s="14" t="s">
        <v>1563</v>
      </c>
      <c r="E209" s="14" t="s">
        <v>1573</v>
      </c>
      <c r="F209" s="14" t="s">
        <v>1574</v>
      </c>
      <c r="G209" s="14" t="s">
        <v>1586</v>
      </c>
      <c r="H209" s="14" t="s">
        <v>1587</v>
      </c>
      <c r="I209" s="14" t="s">
        <v>1589</v>
      </c>
      <c r="J209" s="14" t="s">
        <v>1590</v>
      </c>
      <c r="K209" s="14" t="s">
        <v>1587</v>
      </c>
      <c r="L209" s="14" t="s">
        <v>1587</v>
      </c>
      <c r="M209" s="14" t="s">
        <v>1592</v>
      </c>
      <c r="N209" s="14" t="s">
        <v>1603</v>
      </c>
      <c r="O209" s="14" t="s">
        <v>1610</v>
      </c>
      <c r="P209" s="14" t="s">
        <v>1623</v>
      </c>
    </row>
    <row r="210" spans="1:16" ht="15" customHeight="1">
      <c r="A210" s="13">
        <v>209</v>
      </c>
      <c r="B210" s="13" t="s">
        <v>337</v>
      </c>
      <c r="C210" s="13" t="s">
        <v>1555</v>
      </c>
      <c r="D210" s="13" t="s">
        <v>1560</v>
      </c>
      <c r="E210" s="13" t="s">
        <v>1573</v>
      </c>
      <c r="F210" s="13" t="s">
        <v>1574</v>
      </c>
      <c r="G210" s="13" t="s">
        <v>1586</v>
      </c>
      <c r="H210" s="13" t="s">
        <v>1587</v>
      </c>
      <c r="I210" s="13" t="s">
        <v>1590</v>
      </c>
      <c r="J210" s="13" t="s">
        <v>1590</v>
      </c>
      <c r="K210" s="13" t="s">
        <v>1589</v>
      </c>
      <c r="L210" s="13" t="s">
        <v>1590</v>
      </c>
      <c r="M210" s="13" t="s">
        <v>1592</v>
      </c>
      <c r="N210" s="13" t="s">
        <v>1605</v>
      </c>
      <c r="O210" s="13" t="s">
        <v>1612</v>
      </c>
      <c r="P210" s="13" t="s">
        <v>1623</v>
      </c>
    </row>
    <row r="211" spans="1:16" ht="15" customHeight="1">
      <c r="A211" s="14">
        <v>210</v>
      </c>
      <c r="B211" s="14" t="s">
        <v>337</v>
      </c>
      <c r="C211" s="14" t="s">
        <v>1552</v>
      </c>
      <c r="D211" s="14" t="s">
        <v>1560</v>
      </c>
      <c r="E211" s="14" t="s">
        <v>1573</v>
      </c>
      <c r="F211" s="14" t="s">
        <v>1577</v>
      </c>
      <c r="G211" s="14" t="s">
        <v>1586</v>
      </c>
      <c r="H211" s="14" t="s">
        <v>1587</v>
      </c>
      <c r="I211" s="14" t="s">
        <v>1590</v>
      </c>
      <c r="J211" s="14" t="s">
        <v>1590</v>
      </c>
      <c r="K211" s="14" t="s">
        <v>1587</v>
      </c>
      <c r="L211" s="14" t="s">
        <v>1590</v>
      </c>
      <c r="M211" s="14" t="s">
        <v>1592</v>
      </c>
      <c r="N211" s="14" t="s">
        <v>1606</v>
      </c>
      <c r="O211" s="14" t="s">
        <v>1610</v>
      </c>
      <c r="P211" s="14" t="s">
        <v>1628</v>
      </c>
    </row>
    <row r="212" spans="1:16" ht="15" customHeight="1">
      <c r="A212" s="13">
        <v>211</v>
      </c>
      <c r="B212" s="13" t="s">
        <v>337</v>
      </c>
      <c r="C212" s="13" t="s">
        <v>1552</v>
      </c>
      <c r="D212" s="13" t="s">
        <v>1560</v>
      </c>
      <c r="E212" s="13" t="s">
        <v>1571</v>
      </c>
      <c r="F212" s="13" t="s">
        <v>1577</v>
      </c>
      <c r="G212" s="13" t="s">
        <v>1586</v>
      </c>
      <c r="H212" s="13" t="s">
        <v>1587</v>
      </c>
      <c r="I212" s="13" t="s">
        <v>1590</v>
      </c>
      <c r="J212" s="13" t="s">
        <v>1590</v>
      </c>
      <c r="K212" s="13" t="s">
        <v>1587</v>
      </c>
      <c r="L212" s="13" t="s">
        <v>1590</v>
      </c>
      <c r="M212" s="13" t="s">
        <v>1592</v>
      </c>
      <c r="N212" s="13" t="s">
        <v>1606</v>
      </c>
      <c r="O212" s="13" t="s">
        <v>1610</v>
      </c>
      <c r="P212" s="13" t="s">
        <v>1623</v>
      </c>
    </row>
    <row r="213" spans="1:16" ht="15" customHeight="1">
      <c r="A213" s="14">
        <v>212</v>
      </c>
      <c r="B213" s="14" t="s">
        <v>337</v>
      </c>
      <c r="C213" s="14" t="s">
        <v>1552</v>
      </c>
      <c r="D213" s="14" t="s">
        <v>1560</v>
      </c>
      <c r="E213" s="14" t="s">
        <v>1573</v>
      </c>
      <c r="F213" s="14" t="s">
        <v>1574</v>
      </c>
      <c r="G213" s="14" t="s">
        <v>1586</v>
      </c>
      <c r="H213" s="14" t="s">
        <v>1587</v>
      </c>
      <c r="I213" s="14" t="s">
        <v>1590</v>
      </c>
      <c r="J213" s="14" t="s">
        <v>1590</v>
      </c>
      <c r="K213" s="14" t="s">
        <v>1587</v>
      </c>
      <c r="L213" s="14" t="s">
        <v>1590</v>
      </c>
      <c r="M213" s="14" t="s">
        <v>1592</v>
      </c>
      <c r="N213" s="14" t="s">
        <v>1605</v>
      </c>
      <c r="O213" s="14" t="s">
        <v>1610</v>
      </c>
      <c r="P213" s="14" t="s">
        <v>1623</v>
      </c>
    </row>
    <row r="214" spans="1:16" ht="15" customHeight="1">
      <c r="A214" s="13">
        <v>213</v>
      </c>
      <c r="B214" s="13" t="s">
        <v>337</v>
      </c>
      <c r="C214" s="13" t="s">
        <v>1552</v>
      </c>
      <c r="D214" s="13" t="s">
        <v>1560</v>
      </c>
      <c r="E214" s="13" t="s">
        <v>1573</v>
      </c>
      <c r="F214" s="13" t="s">
        <v>1574</v>
      </c>
      <c r="G214" s="13" t="s">
        <v>1586</v>
      </c>
      <c r="H214" s="13" t="s">
        <v>1587</v>
      </c>
      <c r="I214" s="13" t="s">
        <v>1590</v>
      </c>
      <c r="J214" s="13" t="s">
        <v>1590</v>
      </c>
      <c r="K214" s="13" t="s">
        <v>1587</v>
      </c>
      <c r="L214" s="13" t="s">
        <v>1589</v>
      </c>
      <c r="M214" s="13" t="s">
        <v>1592</v>
      </c>
      <c r="N214" s="13" t="s">
        <v>1605</v>
      </c>
      <c r="O214" s="13" t="s">
        <v>1610</v>
      </c>
      <c r="P214" s="13" t="s">
        <v>1626</v>
      </c>
    </row>
    <row r="215" spans="1:16" ht="15" customHeight="1">
      <c r="A215" s="14">
        <v>214</v>
      </c>
      <c r="B215" s="14" t="s">
        <v>337</v>
      </c>
      <c r="C215" s="14" t="s">
        <v>1552</v>
      </c>
      <c r="D215" s="14" t="s">
        <v>1560</v>
      </c>
      <c r="E215" s="14" t="s">
        <v>1573</v>
      </c>
      <c r="F215" s="14" t="s">
        <v>1574</v>
      </c>
      <c r="G215" s="14" t="s">
        <v>1585</v>
      </c>
      <c r="H215" s="14" t="s">
        <v>1587</v>
      </c>
      <c r="I215" s="14" t="s">
        <v>1590</v>
      </c>
      <c r="J215" s="14" t="s">
        <v>1590</v>
      </c>
      <c r="K215" s="14" t="s">
        <v>1587</v>
      </c>
      <c r="L215" s="14" t="s">
        <v>1590</v>
      </c>
      <c r="M215" s="14" t="s">
        <v>1592</v>
      </c>
      <c r="N215" s="14" t="s">
        <v>1605</v>
      </c>
      <c r="O215" s="14" t="s">
        <v>1610</v>
      </c>
      <c r="P215" s="14" t="s">
        <v>1626</v>
      </c>
    </row>
    <row r="216" spans="1:16" ht="15" customHeight="1">
      <c r="A216" s="13">
        <v>215</v>
      </c>
      <c r="B216" s="13" t="s">
        <v>337</v>
      </c>
      <c r="C216" s="13" t="s">
        <v>1552</v>
      </c>
      <c r="D216" s="13" t="s">
        <v>1560</v>
      </c>
      <c r="E216" s="13" t="s">
        <v>1571</v>
      </c>
      <c r="F216" s="13" t="s">
        <v>1574</v>
      </c>
      <c r="G216" s="13" t="s">
        <v>1585</v>
      </c>
      <c r="H216" s="13" t="s">
        <v>1587</v>
      </c>
      <c r="I216" s="13" t="s">
        <v>1590</v>
      </c>
      <c r="J216" s="13" t="s">
        <v>1590</v>
      </c>
      <c r="K216" s="13" t="s">
        <v>1587</v>
      </c>
      <c r="L216" s="13" t="s">
        <v>1590</v>
      </c>
      <c r="M216" s="13" t="s">
        <v>1592</v>
      </c>
      <c r="N216" s="13" t="s">
        <v>1605</v>
      </c>
      <c r="O216" s="13" t="s">
        <v>1610</v>
      </c>
      <c r="P216" s="13" t="s">
        <v>1623</v>
      </c>
    </row>
    <row r="217" spans="1:16" ht="15" customHeight="1">
      <c r="A217" s="14">
        <v>216</v>
      </c>
      <c r="B217" s="14" t="s">
        <v>337</v>
      </c>
      <c r="C217" s="14" t="s">
        <v>1552</v>
      </c>
      <c r="D217" s="14" t="s">
        <v>1563</v>
      </c>
      <c r="E217" s="14" t="s">
        <v>1571</v>
      </c>
      <c r="F217" s="14" t="s">
        <v>1576</v>
      </c>
      <c r="G217" s="14" t="s">
        <v>1586</v>
      </c>
      <c r="H217" s="14" t="s">
        <v>1587</v>
      </c>
      <c r="I217" s="14" t="s">
        <v>1590</v>
      </c>
      <c r="J217" s="14" t="s">
        <v>1590</v>
      </c>
      <c r="K217" s="14" t="s">
        <v>1587</v>
      </c>
      <c r="L217" s="14" t="s">
        <v>1589</v>
      </c>
      <c r="M217" s="14" t="s">
        <v>1592</v>
      </c>
      <c r="N217" s="14" t="s">
        <v>1605</v>
      </c>
      <c r="O217" s="14" t="s">
        <v>1610</v>
      </c>
      <c r="P217" s="14" t="s">
        <v>1623</v>
      </c>
    </row>
    <row r="218" spans="1:16" ht="15" customHeight="1">
      <c r="A218" s="13">
        <v>217</v>
      </c>
      <c r="B218" s="13" t="s">
        <v>337</v>
      </c>
      <c r="C218" s="13" t="s">
        <v>1552</v>
      </c>
      <c r="D218" s="13" t="s">
        <v>1563</v>
      </c>
      <c r="E218" s="13" t="s">
        <v>1573</v>
      </c>
      <c r="F218" s="13" t="s">
        <v>1574</v>
      </c>
      <c r="G218" s="13" t="s">
        <v>1586</v>
      </c>
      <c r="H218" s="13" t="s">
        <v>1587</v>
      </c>
      <c r="I218" s="13" t="s">
        <v>1589</v>
      </c>
      <c r="J218" s="13" t="s">
        <v>1590</v>
      </c>
      <c r="K218" s="13" t="s">
        <v>1589</v>
      </c>
      <c r="L218" s="13" t="s">
        <v>1590</v>
      </c>
      <c r="M218" s="13" t="s">
        <v>1592</v>
      </c>
      <c r="N218" s="13" t="s">
        <v>1605</v>
      </c>
      <c r="O218" s="13" t="s">
        <v>1610</v>
      </c>
      <c r="P218" s="13" t="s">
        <v>1627</v>
      </c>
    </row>
    <row r="219" spans="1:16" ht="15" customHeight="1">
      <c r="A219" s="14">
        <v>218</v>
      </c>
      <c r="B219" s="14" t="s">
        <v>337</v>
      </c>
      <c r="C219" s="14" t="s">
        <v>1552</v>
      </c>
      <c r="D219" s="14" t="s">
        <v>1563</v>
      </c>
      <c r="E219" s="14" t="s">
        <v>1573</v>
      </c>
      <c r="F219" s="14" t="s">
        <v>1574</v>
      </c>
      <c r="G219" s="14" t="s">
        <v>1586</v>
      </c>
      <c r="H219" s="14" t="s">
        <v>1587</v>
      </c>
      <c r="I219" s="14" t="s">
        <v>1587</v>
      </c>
      <c r="J219" s="14" t="s">
        <v>1590</v>
      </c>
      <c r="K219" s="14" t="s">
        <v>1587</v>
      </c>
      <c r="L219" s="14" t="s">
        <v>1590</v>
      </c>
      <c r="M219" s="14" t="s">
        <v>1592</v>
      </c>
      <c r="N219" s="14" t="s">
        <v>1605</v>
      </c>
      <c r="O219" s="14" t="s">
        <v>1612</v>
      </c>
      <c r="P219" s="14" t="s">
        <v>1623</v>
      </c>
    </row>
    <row r="220" spans="1:16" ht="15" customHeight="1">
      <c r="A220" s="13">
        <v>219</v>
      </c>
      <c r="B220" s="13" t="s">
        <v>337</v>
      </c>
      <c r="C220" s="13" t="s">
        <v>1552</v>
      </c>
      <c r="D220" s="13" t="s">
        <v>1563</v>
      </c>
      <c r="E220" s="13" t="s">
        <v>1573</v>
      </c>
      <c r="F220" s="13" t="s">
        <v>1574</v>
      </c>
      <c r="G220" s="13" t="s">
        <v>1586</v>
      </c>
      <c r="H220" s="13" t="s">
        <v>1587</v>
      </c>
      <c r="I220" s="13" t="s">
        <v>1589</v>
      </c>
      <c r="J220" s="13" t="s">
        <v>1590</v>
      </c>
      <c r="K220" s="13" t="s">
        <v>1587</v>
      </c>
      <c r="L220" s="13" t="s">
        <v>1589</v>
      </c>
      <c r="M220" s="13" t="s">
        <v>1592</v>
      </c>
      <c r="N220" s="13" t="s">
        <v>1605</v>
      </c>
      <c r="O220" s="13" t="s">
        <v>1612</v>
      </c>
      <c r="P220" s="13" t="s">
        <v>1623</v>
      </c>
    </row>
    <row r="221" spans="1:16" ht="15" customHeight="1">
      <c r="A221" s="14">
        <v>220</v>
      </c>
      <c r="B221" s="14" t="s">
        <v>337</v>
      </c>
      <c r="C221" s="14" t="s">
        <v>1552</v>
      </c>
      <c r="D221" s="14" t="s">
        <v>1560</v>
      </c>
      <c r="E221" s="14" t="s">
        <v>1573</v>
      </c>
      <c r="F221" s="14" t="s">
        <v>1577</v>
      </c>
      <c r="G221" s="14" t="s">
        <v>1586</v>
      </c>
      <c r="H221" s="14" t="s">
        <v>1587</v>
      </c>
      <c r="I221" s="14" t="s">
        <v>1590</v>
      </c>
      <c r="J221" s="14" t="s">
        <v>1590</v>
      </c>
      <c r="K221" s="14" t="s">
        <v>1587</v>
      </c>
      <c r="L221" s="14" t="s">
        <v>1590</v>
      </c>
      <c r="M221" s="14" t="s">
        <v>1592</v>
      </c>
      <c r="N221" s="14" t="s">
        <v>1605</v>
      </c>
      <c r="O221" s="14" t="s">
        <v>1612</v>
      </c>
      <c r="P221" s="14" t="s">
        <v>1623</v>
      </c>
    </row>
    <row r="222" spans="1:16" ht="15" customHeight="1">
      <c r="A222" s="13">
        <v>221</v>
      </c>
      <c r="B222" s="13" t="s">
        <v>337</v>
      </c>
      <c r="C222" s="13" t="s">
        <v>1552</v>
      </c>
      <c r="D222" s="13" t="s">
        <v>1563</v>
      </c>
      <c r="E222" s="13" t="s">
        <v>1573</v>
      </c>
      <c r="F222" s="13" t="s">
        <v>1574</v>
      </c>
      <c r="G222" s="13" t="s">
        <v>1586</v>
      </c>
      <c r="H222" s="13" t="s">
        <v>1587</v>
      </c>
      <c r="I222" s="13" t="s">
        <v>1589</v>
      </c>
      <c r="J222" s="13" t="s">
        <v>1590</v>
      </c>
      <c r="K222" s="13" t="s">
        <v>1587</v>
      </c>
      <c r="L222" s="13" t="s">
        <v>1590</v>
      </c>
      <c r="M222" s="13" t="s">
        <v>1597</v>
      </c>
      <c r="N222" s="13" t="s">
        <v>1605</v>
      </c>
      <c r="O222" s="13" t="s">
        <v>1610</v>
      </c>
      <c r="P222" s="13" t="s">
        <v>1626</v>
      </c>
    </row>
    <row r="223" spans="1:16" ht="15" customHeight="1">
      <c r="A223" s="14">
        <v>222</v>
      </c>
      <c r="B223" s="14" t="s">
        <v>337</v>
      </c>
      <c r="C223" s="14" t="s">
        <v>1552</v>
      </c>
      <c r="D223" s="14" t="s">
        <v>1560</v>
      </c>
      <c r="E223" s="14" t="s">
        <v>1572</v>
      </c>
      <c r="F223" s="14" t="s">
        <v>1577</v>
      </c>
      <c r="G223" s="14" t="s">
        <v>1586</v>
      </c>
      <c r="H223" s="14" t="s">
        <v>1587</v>
      </c>
      <c r="I223" s="14" t="s">
        <v>1590</v>
      </c>
      <c r="J223" s="14" t="s">
        <v>1590</v>
      </c>
      <c r="K223" s="14" t="s">
        <v>1589</v>
      </c>
      <c r="L223" s="14" t="s">
        <v>1590</v>
      </c>
      <c r="M223" s="14" t="s">
        <v>1595</v>
      </c>
      <c r="N223" s="14" t="s">
        <v>1605</v>
      </c>
      <c r="O223" s="14" t="s">
        <v>1610</v>
      </c>
      <c r="P223" s="14" t="s">
        <v>1623</v>
      </c>
    </row>
    <row r="224" spans="1:16" ht="15" customHeight="1">
      <c r="A224" s="13">
        <v>223</v>
      </c>
      <c r="B224" s="13" t="s">
        <v>337</v>
      </c>
      <c r="C224" s="13" t="s">
        <v>1552</v>
      </c>
      <c r="D224" s="13" t="s">
        <v>1560</v>
      </c>
      <c r="E224" s="13" t="s">
        <v>1572</v>
      </c>
      <c r="F224" s="13" t="s">
        <v>1574</v>
      </c>
      <c r="G224" s="13" t="s">
        <v>1586</v>
      </c>
      <c r="H224" s="13" t="s">
        <v>1587</v>
      </c>
      <c r="I224" s="13" t="s">
        <v>1589</v>
      </c>
      <c r="J224" s="13" t="s">
        <v>1590</v>
      </c>
      <c r="K224" s="13" t="s">
        <v>1587</v>
      </c>
      <c r="L224" s="13" t="s">
        <v>1590</v>
      </c>
      <c r="M224" s="13" t="s">
        <v>1592</v>
      </c>
      <c r="N224" s="13" t="s">
        <v>1605</v>
      </c>
      <c r="O224" s="13" t="s">
        <v>1610</v>
      </c>
      <c r="P224" s="13" t="s">
        <v>1623</v>
      </c>
    </row>
    <row r="225" spans="1:16" ht="15" customHeight="1">
      <c r="A225" s="14">
        <v>224</v>
      </c>
      <c r="B225" s="14" t="s">
        <v>337</v>
      </c>
      <c r="C225" s="14" t="s">
        <v>1552</v>
      </c>
      <c r="D225" s="14" t="s">
        <v>1563</v>
      </c>
      <c r="E225" s="14" t="s">
        <v>1573</v>
      </c>
      <c r="F225" s="14" t="s">
        <v>1574</v>
      </c>
      <c r="G225" s="14" t="s">
        <v>1586</v>
      </c>
      <c r="H225" s="14" t="s">
        <v>1587</v>
      </c>
      <c r="I225" s="14" t="s">
        <v>1590</v>
      </c>
      <c r="J225" s="14" t="s">
        <v>1590</v>
      </c>
      <c r="K225" s="14" t="s">
        <v>1587</v>
      </c>
      <c r="L225" s="14" t="s">
        <v>1590</v>
      </c>
      <c r="M225" s="14" t="s">
        <v>1592</v>
      </c>
      <c r="N225" s="14" t="s">
        <v>1605</v>
      </c>
      <c r="O225" s="14" t="s">
        <v>1610</v>
      </c>
      <c r="P225" s="14" t="s">
        <v>1623</v>
      </c>
    </row>
    <row r="226" spans="1:16" ht="15" customHeight="1">
      <c r="A226" s="13">
        <v>225</v>
      </c>
      <c r="B226" s="13" t="s">
        <v>337</v>
      </c>
      <c r="C226" s="13" t="s">
        <v>1552</v>
      </c>
      <c r="D226" s="13" t="s">
        <v>1560</v>
      </c>
      <c r="E226" s="13" t="s">
        <v>1573</v>
      </c>
      <c r="F226" s="13" t="s">
        <v>1576</v>
      </c>
      <c r="G226" s="13" t="s">
        <v>1586</v>
      </c>
      <c r="H226" s="13" t="s">
        <v>1587</v>
      </c>
      <c r="I226" s="13" t="s">
        <v>1589</v>
      </c>
      <c r="J226" s="13" t="s">
        <v>1590</v>
      </c>
      <c r="K226" s="13" t="s">
        <v>1587</v>
      </c>
      <c r="L226" s="13" t="s">
        <v>1590</v>
      </c>
      <c r="M226" s="13" t="s">
        <v>1592</v>
      </c>
      <c r="N226" s="13" t="s">
        <v>1605</v>
      </c>
      <c r="O226" s="13" t="s">
        <v>1612</v>
      </c>
      <c r="P226" s="13" t="s">
        <v>1623</v>
      </c>
    </row>
    <row r="227" spans="1:16" ht="15" customHeight="1">
      <c r="A227" s="14">
        <v>226</v>
      </c>
      <c r="B227" s="14" t="s">
        <v>337</v>
      </c>
      <c r="C227" s="14" t="s">
        <v>1552</v>
      </c>
      <c r="D227" s="14" t="s">
        <v>1560</v>
      </c>
      <c r="E227" s="14" t="s">
        <v>1573</v>
      </c>
      <c r="F227" s="14" t="s">
        <v>1577</v>
      </c>
      <c r="G227" s="14" t="s">
        <v>1586</v>
      </c>
      <c r="H227" s="14" t="s">
        <v>1587</v>
      </c>
      <c r="I227" s="14" t="s">
        <v>1590</v>
      </c>
      <c r="J227" s="14" t="s">
        <v>1590</v>
      </c>
      <c r="K227" s="14" t="s">
        <v>1587</v>
      </c>
      <c r="L227" s="14" t="s">
        <v>1590</v>
      </c>
      <c r="M227" s="14" t="s">
        <v>1592</v>
      </c>
      <c r="N227" s="14" t="s">
        <v>1605</v>
      </c>
      <c r="O227" s="14" t="s">
        <v>1612</v>
      </c>
      <c r="P227" s="14" t="s">
        <v>1623</v>
      </c>
    </row>
    <row r="228" spans="1:16" ht="15" customHeight="1">
      <c r="A228" s="13">
        <v>227</v>
      </c>
      <c r="B228" s="13" t="s">
        <v>337</v>
      </c>
      <c r="C228" s="13" t="s">
        <v>1552</v>
      </c>
      <c r="D228" s="13" t="s">
        <v>1560</v>
      </c>
      <c r="E228" s="13" t="s">
        <v>1573</v>
      </c>
      <c r="F228" s="13" t="s">
        <v>1574</v>
      </c>
      <c r="G228" s="13" t="s">
        <v>1586</v>
      </c>
      <c r="H228" s="13" t="s">
        <v>1587</v>
      </c>
      <c r="I228" s="13" t="s">
        <v>1589</v>
      </c>
      <c r="J228" s="13" t="s">
        <v>1590</v>
      </c>
      <c r="K228" s="13" t="s">
        <v>1587</v>
      </c>
      <c r="L228" s="13" t="s">
        <v>1587</v>
      </c>
      <c r="M228" s="13" t="s">
        <v>1597</v>
      </c>
      <c r="N228" s="13" t="s">
        <v>1606</v>
      </c>
      <c r="O228" s="13" t="s">
        <v>1610</v>
      </c>
      <c r="P228" s="13" t="s">
        <v>1627</v>
      </c>
    </row>
    <row r="229" spans="1:16" ht="15" customHeight="1">
      <c r="A229" s="14">
        <v>228</v>
      </c>
      <c r="B229" s="14" t="s">
        <v>337</v>
      </c>
      <c r="C229" s="14" t="s">
        <v>1552</v>
      </c>
      <c r="D229" s="14" t="s">
        <v>1560</v>
      </c>
      <c r="E229" s="14" t="s">
        <v>1573</v>
      </c>
      <c r="F229" s="14" t="s">
        <v>1574</v>
      </c>
      <c r="G229" s="14" t="s">
        <v>1586</v>
      </c>
      <c r="H229" s="14" t="s">
        <v>1587</v>
      </c>
      <c r="I229" s="14" t="s">
        <v>1590</v>
      </c>
      <c r="J229" s="14" t="s">
        <v>1589</v>
      </c>
      <c r="K229" s="14" t="s">
        <v>1587</v>
      </c>
      <c r="L229" s="14" t="s">
        <v>1589</v>
      </c>
      <c r="M229" s="14" t="s">
        <v>1592</v>
      </c>
      <c r="N229" s="14" t="s">
        <v>1603</v>
      </c>
      <c r="O229" s="14" t="s">
        <v>1610</v>
      </c>
      <c r="P229" s="14" t="s">
        <v>1626</v>
      </c>
    </row>
    <row r="230" spans="1:16" ht="15" customHeight="1">
      <c r="A230" s="13">
        <v>229</v>
      </c>
      <c r="B230" s="13" t="s">
        <v>337</v>
      </c>
      <c r="C230" s="13" t="s">
        <v>1552</v>
      </c>
      <c r="D230" s="13" t="s">
        <v>1560</v>
      </c>
      <c r="E230" s="13" t="s">
        <v>1573</v>
      </c>
      <c r="F230" s="13" t="s">
        <v>1576</v>
      </c>
      <c r="G230" s="13" t="s">
        <v>1586</v>
      </c>
      <c r="H230" s="13" t="s">
        <v>1587</v>
      </c>
      <c r="I230" s="13" t="s">
        <v>1590</v>
      </c>
      <c r="J230" s="13" t="s">
        <v>1590</v>
      </c>
      <c r="K230" s="13" t="s">
        <v>1587</v>
      </c>
      <c r="L230" s="13" t="s">
        <v>1590</v>
      </c>
      <c r="M230" s="13" t="s">
        <v>1592</v>
      </c>
      <c r="N230" s="13" t="s">
        <v>1605</v>
      </c>
      <c r="O230" s="13" t="s">
        <v>1610</v>
      </c>
      <c r="P230" s="13" t="s">
        <v>1623</v>
      </c>
    </row>
    <row r="231" spans="1:16" ht="15" customHeight="1">
      <c r="A231" s="14">
        <v>230</v>
      </c>
      <c r="B231" s="14" t="s">
        <v>337</v>
      </c>
      <c r="C231" s="14" t="s">
        <v>1552</v>
      </c>
      <c r="D231" s="14" t="s">
        <v>1560</v>
      </c>
      <c r="E231" s="14" t="s">
        <v>1573</v>
      </c>
      <c r="F231" s="14" t="s">
        <v>1574</v>
      </c>
      <c r="G231" s="14" t="s">
        <v>1585</v>
      </c>
      <c r="H231" s="14" t="s">
        <v>1587</v>
      </c>
      <c r="I231" s="14" t="s">
        <v>1590</v>
      </c>
      <c r="J231" s="14" t="s">
        <v>1590</v>
      </c>
      <c r="K231" s="14" t="s">
        <v>1589</v>
      </c>
      <c r="L231" s="14" t="s">
        <v>1590</v>
      </c>
      <c r="M231" s="14" t="s">
        <v>1592</v>
      </c>
      <c r="N231" s="14" t="s">
        <v>1603</v>
      </c>
      <c r="O231" s="14" t="s">
        <v>1610</v>
      </c>
      <c r="P231" s="14" t="s">
        <v>1623</v>
      </c>
    </row>
    <row r="232" spans="1:16" ht="15" customHeight="1">
      <c r="A232" s="13">
        <v>231</v>
      </c>
      <c r="B232" s="13" t="s">
        <v>337</v>
      </c>
      <c r="C232" s="13" t="s">
        <v>1552</v>
      </c>
      <c r="D232" s="13" t="s">
        <v>1560</v>
      </c>
      <c r="E232" s="13" t="s">
        <v>1573</v>
      </c>
      <c r="F232" s="13" t="s">
        <v>1574</v>
      </c>
      <c r="G232" s="13" t="s">
        <v>1585</v>
      </c>
      <c r="H232" s="13" t="s">
        <v>1587</v>
      </c>
      <c r="I232" s="13" t="s">
        <v>1589</v>
      </c>
      <c r="J232" s="13" t="s">
        <v>1590</v>
      </c>
      <c r="K232" s="13" t="s">
        <v>1589</v>
      </c>
      <c r="L232" s="13" t="s">
        <v>1589</v>
      </c>
      <c r="M232" s="13" t="s">
        <v>1592</v>
      </c>
      <c r="N232" s="13" t="s">
        <v>1601</v>
      </c>
      <c r="O232" s="13" t="s">
        <v>1610</v>
      </c>
      <c r="P232" s="13" t="s">
        <v>1626</v>
      </c>
    </row>
    <row r="233" spans="1:16" ht="15" customHeight="1">
      <c r="A233" s="14">
        <v>232</v>
      </c>
      <c r="B233" s="14" t="s">
        <v>337</v>
      </c>
      <c r="C233" s="14" t="s">
        <v>1552</v>
      </c>
      <c r="D233" s="14" t="s">
        <v>1560</v>
      </c>
      <c r="E233" s="14" t="s">
        <v>1573</v>
      </c>
      <c r="F233" s="14" t="s">
        <v>1574</v>
      </c>
      <c r="G233" s="14" t="s">
        <v>1586</v>
      </c>
      <c r="H233" s="14" t="s">
        <v>1587</v>
      </c>
      <c r="I233" s="14" t="s">
        <v>1590</v>
      </c>
      <c r="J233" s="14" t="s">
        <v>1590</v>
      </c>
      <c r="K233" s="14" t="s">
        <v>1587</v>
      </c>
      <c r="L233" s="14" t="s">
        <v>1590</v>
      </c>
      <c r="M233" s="14" t="s">
        <v>1592</v>
      </c>
      <c r="N233" s="14" t="s">
        <v>1605</v>
      </c>
      <c r="O233" s="14" t="s">
        <v>1610</v>
      </c>
      <c r="P233" s="14" t="s">
        <v>1627</v>
      </c>
    </row>
    <row r="234" spans="1:16" ht="15" customHeight="1">
      <c r="A234" s="13">
        <v>233</v>
      </c>
      <c r="B234" s="13" t="s">
        <v>337</v>
      </c>
      <c r="C234" s="13" t="s">
        <v>1552</v>
      </c>
      <c r="D234" s="13" t="s">
        <v>1560</v>
      </c>
      <c r="E234" s="13" t="s">
        <v>1573</v>
      </c>
      <c r="F234" s="13" t="s">
        <v>1576</v>
      </c>
      <c r="G234" s="13" t="s">
        <v>1585</v>
      </c>
      <c r="H234" s="13" t="s">
        <v>1587</v>
      </c>
      <c r="I234" s="13" t="s">
        <v>1590</v>
      </c>
      <c r="J234" s="13" t="s">
        <v>1589</v>
      </c>
      <c r="K234" s="13" t="s">
        <v>1587</v>
      </c>
      <c r="L234" s="13" t="s">
        <v>1589</v>
      </c>
      <c r="M234" s="13" t="s">
        <v>1592</v>
      </c>
      <c r="N234" s="13" t="s">
        <v>1606</v>
      </c>
      <c r="O234" s="13" t="s">
        <v>1612</v>
      </c>
      <c r="P234" s="13" t="s">
        <v>1623</v>
      </c>
    </row>
    <row r="235" spans="1:16" ht="15" customHeight="1">
      <c r="A235" s="14">
        <v>234</v>
      </c>
      <c r="B235" s="14" t="s">
        <v>337</v>
      </c>
      <c r="C235" s="14" t="s">
        <v>1555</v>
      </c>
      <c r="D235" s="14" t="s">
        <v>1560</v>
      </c>
      <c r="E235" s="14" t="s">
        <v>1573</v>
      </c>
      <c r="F235" s="14" t="s">
        <v>1574</v>
      </c>
      <c r="G235" s="14" t="s">
        <v>1586</v>
      </c>
      <c r="H235" s="14" t="s">
        <v>1587</v>
      </c>
      <c r="I235" s="14" t="s">
        <v>1589</v>
      </c>
      <c r="J235" s="14" t="s">
        <v>1590</v>
      </c>
      <c r="K235" s="14" t="s">
        <v>1589</v>
      </c>
      <c r="L235" s="14" t="s">
        <v>1590</v>
      </c>
      <c r="M235" s="14" t="s">
        <v>1592</v>
      </c>
      <c r="N235" s="14" t="s">
        <v>1606</v>
      </c>
      <c r="O235" s="14" t="s">
        <v>1613</v>
      </c>
      <c r="P235" s="14" t="s">
        <v>1626</v>
      </c>
    </row>
    <row r="236" spans="1:16" ht="15" customHeight="1">
      <c r="A236" s="13">
        <v>235</v>
      </c>
      <c r="B236" s="13" t="s">
        <v>337</v>
      </c>
      <c r="C236" s="13" t="s">
        <v>1552</v>
      </c>
      <c r="D236" s="13" t="s">
        <v>1560</v>
      </c>
      <c r="E236" s="13" t="s">
        <v>1573</v>
      </c>
      <c r="F236" s="13" t="s">
        <v>1576</v>
      </c>
      <c r="G236" s="13" t="s">
        <v>1585</v>
      </c>
      <c r="H236" s="13" t="s">
        <v>1587</v>
      </c>
      <c r="I236" s="13" t="s">
        <v>1590</v>
      </c>
      <c r="J236" s="13" t="s">
        <v>1590</v>
      </c>
      <c r="K236" s="13" t="s">
        <v>1587</v>
      </c>
      <c r="L236" s="13" t="s">
        <v>1589</v>
      </c>
      <c r="M236" s="13" t="s">
        <v>1592</v>
      </c>
      <c r="N236" s="13" t="s">
        <v>1605</v>
      </c>
      <c r="O236" s="13" t="s">
        <v>1610</v>
      </c>
      <c r="P236" s="13" t="s">
        <v>1626</v>
      </c>
    </row>
    <row r="237" spans="1:16" ht="15" customHeight="1">
      <c r="A237" s="14">
        <v>236</v>
      </c>
      <c r="B237" s="14" t="s">
        <v>337</v>
      </c>
      <c r="C237" s="14" t="s">
        <v>1552</v>
      </c>
      <c r="D237" s="14" t="s">
        <v>1560</v>
      </c>
      <c r="E237" s="14" t="s">
        <v>1573</v>
      </c>
      <c r="F237" s="14" t="s">
        <v>1574</v>
      </c>
      <c r="G237" s="14" t="s">
        <v>1585</v>
      </c>
      <c r="H237" s="14" t="s">
        <v>1587</v>
      </c>
      <c r="I237" s="14" t="s">
        <v>1590</v>
      </c>
      <c r="J237" s="14" t="s">
        <v>1590</v>
      </c>
      <c r="K237" s="14" t="s">
        <v>1587</v>
      </c>
      <c r="L237" s="14" t="s">
        <v>1587</v>
      </c>
      <c r="M237" s="14" t="s">
        <v>1592</v>
      </c>
      <c r="N237" s="14" t="s">
        <v>1606</v>
      </c>
      <c r="O237" s="14" t="s">
        <v>1612</v>
      </c>
      <c r="P237" s="14" t="s">
        <v>1623</v>
      </c>
    </row>
    <row r="238" spans="1:16" ht="15" customHeight="1">
      <c r="A238" s="13">
        <v>237</v>
      </c>
      <c r="B238" s="13" t="s">
        <v>337</v>
      </c>
      <c r="C238" s="13" t="s">
        <v>1552</v>
      </c>
      <c r="D238" s="13" t="s">
        <v>1560</v>
      </c>
      <c r="E238" s="13" t="s">
        <v>1573</v>
      </c>
      <c r="F238" s="13" t="s">
        <v>1574</v>
      </c>
      <c r="G238" s="13" t="s">
        <v>1586</v>
      </c>
      <c r="H238" s="13" t="s">
        <v>1587</v>
      </c>
      <c r="I238" s="13" t="s">
        <v>1589</v>
      </c>
      <c r="J238" s="13" t="s">
        <v>1590</v>
      </c>
      <c r="K238" s="13" t="s">
        <v>1589</v>
      </c>
      <c r="L238" s="13" t="s">
        <v>1589</v>
      </c>
      <c r="M238" s="13" t="s">
        <v>1592</v>
      </c>
      <c r="N238" s="13" t="s">
        <v>1605</v>
      </c>
      <c r="O238" s="13" t="s">
        <v>1612</v>
      </c>
      <c r="P238" s="13" t="s">
        <v>1623</v>
      </c>
    </row>
    <row r="239" spans="1:16" ht="15" customHeight="1">
      <c r="A239" s="14">
        <v>238</v>
      </c>
      <c r="B239" s="14" t="s">
        <v>337</v>
      </c>
      <c r="C239" s="14" t="s">
        <v>1552</v>
      </c>
      <c r="D239" s="14" t="s">
        <v>1560</v>
      </c>
      <c r="E239" s="14" t="s">
        <v>1573</v>
      </c>
      <c r="F239" s="14" t="s">
        <v>1577</v>
      </c>
      <c r="G239" s="14" t="s">
        <v>1586</v>
      </c>
      <c r="H239" s="14" t="s">
        <v>1587</v>
      </c>
      <c r="I239" s="14" t="s">
        <v>1590</v>
      </c>
      <c r="J239" s="14" t="s">
        <v>1590</v>
      </c>
      <c r="K239" s="14" t="s">
        <v>1587</v>
      </c>
      <c r="L239" s="14" t="s">
        <v>1590</v>
      </c>
      <c r="M239" s="14" t="s">
        <v>1592</v>
      </c>
      <c r="N239" s="14" t="s">
        <v>1605</v>
      </c>
      <c r="O239" s="14" t="s">
        <v>1610</v>
      </c>
      <c r="P239" s="14" t="s">
        <v>1623</v>
      </c>
    </row>
    <row r="240" spans="1:16" ht="15" customHeight="1">
      <c r="A240" s="13">
        <v>239</v>
      </c>
      <c r="B240" s="13" t="s">
        <v>337</v>
      </c>
      <c r="C240" s="13" t="s">
        <v>1552</v>
      </c>
      <c r="D240" s="13" t="s">
        <v>1560</v>
      </c>
      <c r="E240" s="13" t="s">
        <v>1573</v>
      </c>
      <c r="F240" s="13" t="s">
        <v>1577</v>
      </c>
      <c r="G240" s="13" t="s">
        <v>1585</v>
      </c>
      <c r="H240" s="13" t="s">
        <v>1587</v>
      </c>
      <c r="I240" s="13" t="s">
        <v>1590</v>
      </c>
      <c r="J240" s="13" t="s">
        <v>1590</v>
      </c>
      <c r="K240" s="13" t="s">
        <v>1587</v>
      </c>
      <c r="L240" s="13" t="s">
        <v>1590</v>
      </c>
      <c r="M240" s="13" t="s">
        <v>1592</v>
      </c>
      <c r="N240" s="13" t="s">
        <v>1605</v>
      </c>
      <c r="O240" s="13" t="s">
        <v>1610</v>
      </c>
      <c r="P240" s="13" t="s">
        <v>1623</v>
      </c>
    </row>
    <row r="241" spans="1:16" ht="15" customHeight="1">
      <c r="A241" s="14">
        <v>240</v>
      </c>
      <c r="B241" s="14" t="s">
        <v>337</v>
      </c>
      <c r="C241" s="14" t="s">
        <v>1559</v>
      </c>
      <c r="D241" s="14" t="s">
        <v>1560</v>
      </c>
      <c r="E241" s="14" t="s">
        <v>1573</v>
      </c>
      <c r="F241" s="14" t="s">
        <v>1576</v>
      </c>
      <c r="G241" s="14" t="s">
        <v>1585</v>
      </c>
      <c r="H241" s="14" t="s">
        <v>1587</v>
      </c>
      <c r="I241" s="14" t="s">
        <v>1589</v>
      </c>
      <c r="J241" s="14" t="s">
        <v>1589</v>
      </c>
      <c r="K241" s="14" t="s">
        <v>1587</v>
      </c>
      <c r="L241" s="14" t="s">
        <v>1589</v>
      </c>
      <c r="M241" s="14" t="s">
        <v>1592</v>
      </c>
      <c r="N241" s="14" t="s">
        <v>1605</v>
      </c>
      <c r="O241" s="14" t="s">
        <v>1610</v>
      </c>
      <c r="P241" s="14" t="s">
        <v>1623</v>
      </c>
    </row>
    <row r="242" spans="1:16" ht="15" customHeight="1">
      <c r="A242" s="13">
        <v>241</v>
      </c>
      <c r="B242" s="13" t="s">
        <v>337</v>
      </c>
      <c r="C242" s="13" t="s">
        <v>1552</v>
      </c>
      <c r="D242" s="13" t="s">
        <v>1560</v>
      </c>
      <c r="E242" s="13" t="s">
        <v>1572</v>
      </c>
      <c r="F242" s="13" t="s">
        <v>1577</v>
      </c>
      <c r="G242" s="13" t="s">
        <v>1586</v>
      </c>
      <c r="H242" s="13" t="s">
        <v>1587</v>
      </c>
      <c r="I242" s="13" t="s">
        <v>1590</v>
      </c>
      <c r="J242" s="13" t="s">
        <v>1590</v>
      </c>
      <c r="K242" s="13" t="s">
        <v>1587</v>
      </c>
      <c r="L242" s="13" t="s">
        <v>1589</v>
      </c>
      <c r="M242" s="13" t="s">
        <v>1592</v>
      </c>
      <c r="N242" s="13" t="s">
        <v>1605</v>
      </c>
      <c r="O242" s="13" t="s">
        <v>1610</v>
      </c>
      <c r="P242" s="13" t="s">
        <v>1623</v>
      </c>
    </row>
    <row r="243" spans="1:16" ht="15" customHeight="1">
      <c r="A243" s="14">
        <v>242</v>
      </c>
      <c r="B243" s="14" t="s">
        <v>337</v>
      </c>
      <c r="C243" s="14" t="s">
        <v>1552</v>
      </c>
      <c r="D243" s="14" t="s">
        <v>1563</v>
      </c>
      <c r="E243" s="14" t="s">
        <v>1573</v>
      </c>
      <c r="F243" s="14" t="s">
        <v>1576</v>
      </c>
      <c r="G243" s="14" t="s">
        <v>1583</v>
      </c>
      <c r="H243" s="14" t="s">
        <v>1587</v>
      </c>
      <c r="I243" s="14" t="s">
        <v>1590</v>
      </c>
      <c r="J243" s="14" t="s">
        <v>1590</v>
      </c>
      <c r="K243" s="14" t="s">
        <v>1587</v>
      </c>
      <c r="L243" s="14" t="s">
        <v>1590</v>
      </c>
      <c r="M243" s="14" t="s">
        <v>1592</v>
      </c>
      <c r="N243" s="14" t="s">
        <v>1606</v>
      </c>
      <c r="O243" s="14" t="s">
        <v>1610</v>
      </c>
      <c r="P243" s="14" t="s">
        <v>1623</v>
      </c>
    </row>
    <row r="244" spans="1:16" ht="15" customHeight="1">
      <c r="A244" s="13">
        <v>243</v>
      </c>
      <c r="B244" s="13" t="s">
        <v>337</v>
      </c>
      <c r="C244" s="13" t="s">
        <v>1555</v>
      </c>
      <c r="D244" s="13" t="s">
        <v>1563</v>
      </c>
      <c r="E244" s="13" t="s">
        <v>1572</v>
      </c>
      <c r="F244" s="13" t="s">
        <v>1574</v>
      </c>
      <c r="G244" s="13" t="s">
        <v>1586</v>
      </c>
      <c r="H244" s="13" t="s">
        <v>1587</v>
      </c>
      <c r="I244" s="13" t="s">
        <v>1590</v>
      </c>
      <c r="J244" s="13" t="s">
        <v>1590</v>
      </c>
      <c r="K244" s="13" t="s">
        <v>1587</v>
      </c>
      <c r="L244" s="13" t="s">
        <v>1589</v>
      </c>
      <c r="M244" s="13" t="s">
        <v>1592</v>
      </c>
      <c r="N244" s="13" t="s">
        <v>1605</v>
      </c>
      <c r="O244" s="13" t="s">
        <v>1610</v>
      </c>
      <c r="P244" s="13" t="s">
        <v>1623</v>
      </c>
    </row>
    <row r="245" spans="1:16" ht="15" customHeight="1">
      <c r="A245" s="14">
        <v>244</v>
      </c>
      <c r="B245" s="14" t="s">
        <v>337</v>
      </c>
      <c r="C245" s="14" t="s">
        <v>1552</v>
      </c>
      <c r="D245" s="14" t="s">
        <v>1563</v>
      </c>
      <c r="E245" s="14" t="s">
        <v>1573</v>
      </c>
      <c r="F245" s="14" t="s">
        <v>1574</v>
      </c>
      <c r="G245" s="14" t="s">
        <v>1583</v>
      </c>
      <c r="H245" s="14" t="s">
        <v>1587</v>
      </c>
      <c r="I245" s="14" t="s">
        <v>1590</v>
      </c>
      <c r="J245" s="14" t="s">
        <v>1590</v>
      </c>
      <c r="K245" s="14" t="s">
        <v>1587</v>
      </c>
      <c r="L245" s="14" t="s">
        <v>1587</v>
      </c>
      <c r="M245" s="14" t="s">
        <v>1592</v>
      </c>
      <c r="N245" s="14" t="s">
        <v>1605</v>
      </c>
      <c r="O245" s="14" t="s">
        <v>1610</v>
      </c>
      <c r="P245" s="14" t="s">
        <v>1623</v>
      </c>
    </row>
    <row r="246" spans="1:16" ht="15" customHeight="1">
      <c r="A246" s="13">
        <v>245</v>
      </c>
      <c r="B246" s="13" t="s">
        <v>337</v>
      </c>
      <c r="C246" s="13" t="s">
        <v>1552</v>
      </c>
      <c r="D246" s="13" t="s">
        <v>1560</v>
      </c>
      <c r="E246" s="13" t="s">
        <v>1573</v>
      </c>
      <c r="F246" s="13" t="s">
        <v>1576</v>
      </c>
      <c r="G246" s="13" t="s">
        <v>1586</v>
      </c>
      <c r="H246" s="13" t="s">
        <v>1587</v>
      </c>
      <c r="I246" s="13" t="s">
        <v>1590</v>
      </c>
      <c r="J246" s="13" t="s">
        <v>1590</v>
      </c>
      <c r="K246" s="13" t="s">
        <v>1587</v>
      </c>
      <c r="L246" s="13" t="s">
        <v>1589</v>
      </c>
      <c r="M246" s="13" t="s">
        <v>1592</v>
      </c>
      <c r="N246" s="13" t="s">
        <v>1605</v>
      </c>
      <c r="O246" s="13" t="s">
        <v>1610</v>
      </c>
      <c r="P246" s="13" t="s">
        <v>1626</v>
      </c>
    </row>
    <row r="247" spans="1:16" ht="15" customHeight="1">
      <c r="A247" s="14">
        <v>246</v>
      </c>
      <c r="B247" s="14" t="s">
        <v>337</v>
      </c>
      <c r="C247" s="14" t="s">
        <v>1552</v>
      </c>
      <c r="D247" s="14" t="s">
        <v>1560</v>
      </c>
      <c r="E247" s="14" t="s">
        <v>1573</v>
      </c>
      <c r="F247" s="14" t="s">
        <v>1574</v>
      </c>
      <c r="G247" s="14" t="s">
        <v>1585</v>
      </c>
      <c r="H247" s="14" t="s">
        <v>1587</v>
      </c>
      <c r="I247" s="14" t="s">
        <v>1590</v>
      </c>
      <c r="J247" s="14" t="s">
        <v>1590</v>
      </c>
      <c r="K247" s="14" t="s">
        <v>1589</v>
      </c>
      <c r="L247" s="14" t="s">
        <v>1589</v>
      </c>
      <c r="M247" s="14" t="s">
        <v>1592</v>
      </c>
      <c r="N247" s="14" t="s">
        <v>1605</v>
      </c>
      <c r="O247" s="14" t="s">
        <v>1610</v>
      </c>
      <c r="P247" s="14" t="s">
        <v>1623</v>
      </c>
    </row>
    <row r="248" spans="1:16" ht="15" customHeight="1">
      <c r="A248" s="13">
        <v>247</v>
      </c>
      <c r="B248" s="13" t="s">
        <v>337</v>
      </c>
      <c r="C248" s="13" t="s">
        <v>1552</v>
      </c>
      <c r="D248" s="13" t="s">
        <v>1563</v>
      </c>
      <c r="E248" s="13" t="s">
        <v>1573</v>
      </c>
      <c r="F248" s="13" t="s">
        <v>1576</v>
      </c>
      <c r="G248" s="13" t="s">
        <v>1586</v>
      </c>
      <c r="H248" s="13" t="s">
        <v>1587</v>
      </c>
      <c r="I248" s="13" t="s">
        <v>1590</v>
      </c>
      <c r="J248" s="13" t="s">
        <v>1590</v>
      </c>
      <c r="K248" s="13" t="s">
        <v>1587</v>
      </c>
      <c r="L248" s="13" t="s">
        <v>1587</v>
      </c>
      <c r="M248" s="13" t="s">
        <v>1592</v>
      </c>
      <c r="N248" s="13" t="s">
        <v>1605</v>
      </c>
      <c r="O248" s="13" t="s">
        <v>1610</v>
      </c>
      <c r="P248" s="13" t="s">
        <v>1626</v>
      </c>
    </row>
    <row r="249" spans="1:16" ht="15" customHeight="1">
      <c r="A249" s="14">
        <v>248</v>
      </c>
      <c r="B249" s="14" t="s">
        <v>337</v>
      </c>
      <c r="C249" s="14" t="s">
        <v>1552</v>
      </c>
      <c r="D249" s="14" t="s">
        <v>1560</v>
      </c>
      <c r="E249" s="14" t="s">
        <v>1573</v>
      </c>
      <c r="F249" s="14" t="s">
        <v>1577</v>
      </c>
      <c r="G249" s="14" t="s">
        <v>1586</v>
      </c>
      <c r="H249" s="14" t="s">
        <v>1587</v>
      </c>
      <c r="I249" s="14" t="s">
        <v>1590</v>
      </c>
      <c r="J249" s="14" t="s">
        <v>1590</v>
      </c>
      <c r="K249" s="14" t="s">
        <v>1587</v>
      </c>
      <c r="L249" s="14" t="s">
        <v>1590</v>
      </c>
      <c r="M249" s="14" t="s">
        <v>1592</v>
      </c>
      <c r="N249" s="14" t="s">
        <v>1605</v>
      </c>
      <c r="O249" s="14" t="s">
        <v>1610</v>
      </c>
      <c r="P249" s="14" t="s">
        <v>1623</v>
      </c>
    </row>
    <row r="250" spans="1:16" ht="15" customHeight="1">
      <c r="A250" s="13">
        <v>249</v>
      </c>
      <c r="B250" s="13" t="s">
        <v>337</v>
      </c>
      <c r="C250" s="13" t="s">
        <v>1552</v>
      </c>
      <c r="D250" s="13" t="s">
        <v>1560</v>
      </c>
      <c r="E250" s="13" t="s">
        <v>1573</v>
      </c>
      <c r="F250" s="13" t="s">
        <v>1576</v>
      </c>
      <c r="G250" s="13" t="s">
        <v>1586</v>
      </c>
      <c r="H250" s="13" t="s">
        <v>1587</v>
      </c>
      <c r="I250" s="13" t="s">
        <v>1590</v>
      </c>
      <c r="J250" s="13" t="s">
        <v>1590</v>
      </c>
      <c r="K250" s="13" t="s">
        <v>1587</v>
      </c>
      <c r="L250" s="13" t="s">
        <v>1589</v>
      </c>
      <c r="M250" s="13" t="s">
        <v>1592</v>
      </c>
      <c r="N250" s="13" t="s">
        <v>1605</v>
      </c>
      <c r="O250" s="13" t="s">
        <v>1612</v>
      </c>
      <c r="P250" s="13" t="s">
        <v>1623</v>
      </c>
    </row>
    <row r="251" spans="1:16" ht="15" customHeight="1">
      <c r="A251" s="14">
        <v>250</v>
      </c>
      <c r="B251" s="14" t="s">
        <v>337</v>
      </c>
      <c r="C251" s="14" t="s">
        <v>1552</v>
      </c>
      <c r="D251" s="14" t="s">
        <v>1560</v>
      </c>
      <c r="E251" s="14" t="s">
        <v>1573</v>
      </c>
      <c r="F251" s="14" t="s">
        <v>1574</v>
      </c>
      <c r="G251" s="14" t="s">
        <v>1585</v>
      </c>
      <c r="H251" s="14" t="s">
        <v>1587</v>
      </c>
      <c r="I251" s="14" t="s">
        <v>1590</v>
      </c>
      <c r="J251" s="14" t="s">
        <v>1590</v>
      </c>
      <c r="K251" s="14" t="s">
        <v>1587</v>
      </c>
      <c r="L251" s="14" t="s">
        <v>1590</v>
      </c>
      <c r="M251" s="14" t="s">
        <v>1592</v>
      </c>
      <c r="N251" s="14" t="s">
        <v>1605</v>
      </c>
      <c r="O251" s="14" t="s">
        <v>1610</v>
      </c>
      <c r="P251" s="14" t="s">
        <v>1623</v>
      </c>
    </row>
    <row r="252" spans="1:16" ht="15" customHeight="1">
      <c r="A252" s="13">
        <v>251</v>
      </c>
      <c r="B252" s="13" t="s">
        <v>337</v>
      </c>
      <c r="C252" s="13" t="s">
        <v>1552</v>
      </c>
      <c r="D252" s="13" t="s">
        <v>1560</v>
      </c>
      <c r="E252" s="13" t="s">
        <v>1573</v>
      </c>
      <c r="F252" s="13" t="s">
        <v>1574</v>
      </c>
      <c r="G252" s="13" t="s">
        <v>1586</v>
      </c>
      <c r="H252" s="13" t="s">
        <v>1589</v>
      </c>
      <c r="I252" s="13" t="s">
        <v>1589</v>
      </c>
      <c r="J252" s="13" t="s">
        <v>1590</v>
      </c>
      <c r="K252" s="13" t="s">
        <v>1587</v>
      </c>
      <c r="L252" s="13" t="s">
        <v>1590</v>
      </c>
      <c r="M252" s="13" t="s">
        <v>1592</v>
      </c>
      <c r="N252" s="13" t="s">
        <v>1605</v>
      </c>
      <c r="O252" s="13" t="s">
        <v>1610</v>
      </c>
      <c r="P252" s="13" t="s">
        <v>1623</v>
      </c>
    </row>
    <row r="253" spans="1:16" ht="15" customHeight="1">
      <c r="A253" s="14">
        <v>252</v>
      </c>
      <c r="B253" s="14" t="s">
        <v>337</v>
      </c>
      <c r="C253" s="14" t="s">
        <v>1552</v>
      </c>
      <c r="D253" s="14" t="s">
        <v>1560</v>
      </c>
      <c r="E253" s="14" t="s">
        <v>1573</v>
      </c>
      <c r="F253" s="14" t="s">
        <v>1576</v>
      </c>
      <c r="G253" s="14" t="s">
        <v>1586</v>
      </c>
      <c r="H253" s="14" t="s">
        <v>1587</v>
      </c>
      <c r="I253" s="14" t="s">
        <v>1590</v>
      </c>
      <c r="J253" s="14" t="s">
        <v>1590</v>
      </c>
      <c r="K253" s="14" t="s">
        <v>1587</v>
      </c>
      <c r="L253" s="14" t="s">
        <v>1589</v>
      </c>
      <c r="M253" s="14" t="s">
        <v>1592</v>
      </c>
      <c r="N253" s="14" t="s">
        <v>1605</v>
      </c>
      <c r="O253" s="14" t="s">
        <v>1612</v>
      </c>
      <c r="P253" s="14" t="s">
        <v>1627</v>
      </c>
    </row>
    <row r="254" spans="1:16" ht="15" customHeight="1">
      <c r="A254" s="13">
        <v>253</v>
      </c>
      <c r="B254" s="13" t="s">
        <v>337</v>
      </c>
      <c r="C254" s="13" t="s">
        <v>1556</v>
      </c>
      <c r="D254" s="13" t="s">
        <v>1560</v>
      </c>
      <c r="E254" s="13" t="s">
        <v>1571</v>
      </c>
      <c r="F254" s="13" t="s">
        <v>1576</v>
      </c>
      <c r="G254" s="13" t="s">
        <v>1586</v>
      </c>
      <c r="H254" s="13" t="s">
        <v>1587</v>
      </c>
      <c r="I254" s="13" t="s">
        <v>1590</v>
      </c>
      <c r="J254" s="13" t="s">
        <v>1590</v>
      </c>
      <c r="K254" s="13" t="s">
        <v>1587</v>
      </c>
      <c r="L254" s="13" t="s">
        <v>1590</v>
      </c>
      <c r="M254" s="13" t="s">
        <v>1592</v>
      </c>
      <c r="N254" s="13" t="s">
        <v>1605</v>
      </c>
      <c r="O254" s="13" t="s">
        <v>1610</v>
      </c>
      <c r="P254" s="13" t="s">
        <v>1623</v>
      </c>
    </row>
    <row r="255" spans="1:16" ht="15" customHeight="1">
      <c r="A255" s="14">
        <v>254</v>
      </c>
      <c r="B255" s="14" t="s">
        <v>337</v>
      </c>
      <c r="C255" s="14" t="s">
        <v>1555</v>
      </c>
      <c r="D255" s="14" t="s">
        <v>1563</v>
      </c>
      <c r="E255" s="14" t="s">
        <v>1573</v>
      </c>
      <c r="F255" s="14" t="s">
        <v>1574</v>
      </c>
      <c r="G255" s="14" t="s">
        <v>1585</v>
      </c>
      <c r="H255" s="14" t="s">
        <v>1587</v>
      </c>
      <c r="I255" s="14" t="s">
        <v>1590</v>
      </c>
      <c r="J255" s="14" t="s">
        <v>1590</v>
      </c>
      <c r="K255" s="14" t="s">
        <v>1589</v>
      </c>
      <c r="L255" s="14" t="s">
        <v>1590</v>
      </c>
      <c r="M255" s="14" t="s">
        <v>1592</v>
      </c>
      <c r="N255" s="14" t="s">
        <v>1605</v>
      </c>
      <c r="O255" s="14" t="s">
        <v>1612</v>
      </c>
      <c r="P255" s="14" t="s">
        <v>1626</v>
      </c>
    </row>
    <row r="256" spans="1:16" ht="15" customHeight="1">
      <c r="A256" s="13">
        <v>255</v>
      </c>
      <c r="B256" s="13" t="s">
        <v>337</v>
      </c>
      <c r="C256" s="13" t="s">
        <v>1555</v>
      </c>
      <c r="D256" s="13" t="s">
        <v>1560</v>
      </c>
      <c r="E256" s="13" t="s">
        <v>1573</v>
      </c>
      <c r="F256" s="13" t="s">
        <v>1577</v>
      </c>
      <c r="G256" s="13" t="s">
        <v>1585</v>
      </c>
      <c r="H256" s="13" t="s">
        <v>1587</v>
      </c>
      <c r="I256" s="13" t="s">
        <v>1590</v>
      </c>
      <c r="J256" s="13" t="s">
        <v>1590</v>
      </c>
      <c r="K256" s="13" t="s">
        <v>1587</v>
      </c>
      <c r="L256" s="13" t="s">
        <v>1589</v>
      </c>
      <c r="M256" s="13" t="s">
        <v>1592</v>
      </c>
      <c r="N256" s="13" t="s">
        <v>1605</v>
      </c>
      <c r="O256" s="13" t="s">
        <v>1613</v>
      </c>
      <c r="P256" s="13" t="s">
        <v>1623</v>
      </c>
    </row>
    <row r="257" spans="1:16" ht="15" customHeight="1">
      <c r="A257" s="14">
        <v>256</v>
      </c>
      <c r="B257" s="14" t="s">
        <v>337</v>
      </c>
      <c r="C257" s="14" t="s">
        <v>1552</v>
      </c>
      <c r="D257" s="14" t="s">
        <v>1560</v>
      </c>
      <c r="E257" s="14" t="s">
        <v>1573</v>
      </c>
      <c r="F257" s="14" t="s">
        <v>1577</v>
      </c>
      <c r="G257" s="14" t="s">
        <v>1586</v>
      </c>
      <c r="H257" s="14" t="s">
        <v>1587</v>
      </c>
      <c r="I257" s="14" t="s">
        <v>1590</v>
      </c>
      <c r="J257" s="14" t="s">
        <v>1590</v>
      </c>
      <c r="K257" s="14" t="s">
        <v>1587</v>
      </c>
      <c r="L257" s="14" t="s">
        <v>1590</v>
      </c>
      <c r="M257" s="14" t="s">
        <v>1592</v>
      </c>
      <c r="N257" s="14" t="s">
        <v>1605</v>
      </c>
      <c r="O257" s="14" t="s">
        <v>1612</v>
      </c>
      <c r="P257" s="14" t="s">
        <v>1623</v>
      </c>
    </row>
    <row r="258" spans="1:16" ht="15" customHeight="1">
      <c r="A258" s="13">
        <v>257</v>
      </c>
      <c r="B258" s="13" t="s">
        <v>337</v>
      </c>
      <c r="C258" s="13" t="s">
        <v>1552</v>
      </c>
      <c r="D258" s="13" t="s">
        <v>1560</v>
      </c>
      <c r="E258" s="13" t="s">
        <v>1573</v>
      </c>
      <c r="F258" s="13" t="s">
        <v>1577</v>
      </c>
      <c r="G258" s="13" t="s">
        <v>1586</v>
      </c>
      <c r="H258" s="13" t="s">
        <v>1587</v>
      </c>
      <c r="I258" s="13" t="s">
        <v>1590</v>
      </c>
      <c r="J258" s="13" t="s">
        <v>1590</v>
      </c>
      <c r="K258" s="13" t="s">
        <v>1589</v>
      </c>
      <c r="L258" s="13" t="s">
        <v>1590</v>
      </c>
      <c r="M258" s="13" t="s">
        <v>1592</v>
      </c>
      <c r="N258" s="13" t="s">
        <v>1606</v>
      </c>
      <c r="O258" s="13" t="s">
        <v>1610</v>
      </c>
      <c r="P258" s="13" t="s">
        <v>1623</v>
      </c>
    </row>
    <row r="259" spans="1:16" ht="15" customHeight="1">
      <c r="A259" s="14">
        <v>258</v>
      </c>
      <c r="B259" s="14" t="s">
        <v>337</v>
      </c>
      <c r="C259" s="14" t="s">
        <v>1552</v>
      </c>
      <c r="D259" s="14" t="s">
        <v>1563</v>
      </c>
      <c r="E259" s="14" t="s">
        <v>1573</v>
      </c>
      <c r="F259" s="14" t="s">
        <v>1577</v>
      </c>
      <c r="G259" s="14" t="s">
        <v>1585</v>
      </c>
      <c r="H259" s="14" t="s">
        <v>1587</v>
      </c>
      <c r="I259" s="14" t="s">
        <v>1590</v>
      </c>
      <c r="J259" s="14" t="s">
        <v>1590</v>
      </c>
      <c r="K259" s="14" t="s">
        <v>1587</v>
      </c>
      <c r="L259" s="14" t="s">
        <v>1589</v>
      </c>
      <c r="M259" s="14" t="s">
        <v>1592</v>
      </c>
      <c r="N259" s="14" t="s">
        <v>1603</v>
      </c>
      <c r="O259" s="14" t="s">
        <v>1610</v>
      </c>
      <c r="P259" s="14" t="s">
        <v>1623</v>
      </c>
    </row>
    <row r="260" spans="1:16" ht="15" customHeight="1">
      <c r="A260" s="13">
        <v>259</v>
      </c>
      <c r="B260" s="13" t="s">
        <v>337</v>
      </c>
      <c r="C260" s="13" t="s">
        <v>1552</v>
      </c>
      <c r="D260" s="13" t="s">
        <v>1560</v>
      </c>
      <c r="E260" s="13" t="s">
        <v>1573</v>
      </c>
      <c r="F260" s="13" t="s">
        <v>1574</v>
      </c>
      <c r="G260" s="13" t="s">
        <v>1586</v>
      </c>
      <c r="H260" s="13" t="s">
        <v>1587</v>
      </c>
      <c r="I260" s="13" t="s">
        <v>1590</v>
      </c>
      <c r="J260" s="13" t="s">
        <v>1589</v>
      </c>
      <c r="K260" s="13" t="s">
        <v>1587</v>
      </c>
      <c r="L260" s="13" t="s">
        <v>1590</v>
      </c>
      <c r="M260" s="13" t="s">
        <v>1592</v>
      </c>
      <c r="N260" s="13" t="s">
        <v>1605</v>
      </c>
      <c r="O260" s="13" t="s">
        <v>1610</v>
      </c>
      <c r="P260" s="13" t="s">
        <v>1626</v>
      </c>
    </row>
    <row r="261" spans="1:16" ht="15" customHeight="1">
      <c r="A261" s="14">
        <v>260</v>
      </c>
      <c r="B261" s="14" t="s">
        <v>337</v>
      </c>
      <c r="C261" s="14" t="s">
        <v>1552</v>
      </c>
      <c r="D261" s="14" t="s">
        <v>1560</v>
      </c>
      <c r="E261" s="14" t="s">
        <v>1573</v>
      </c>
      <c r="F261" s="14" t="s">
        <v>1576</v>
      </c>
      <c r="G261" s="14" t="s">
        <v>1586</v>
      </c>
      <c r="H261" s="14" t="s">
        <v>1589</v>
      </c>
      <c r="I261" s="14" t="s">
        <v>1590</v>
      </c>
      <c r="J261" s="14" t="s">
        <v>1590</v>
      </c>
      <c r="K261" s="14" t="s">
        <v>1587</v>
      </c>
      <c r="L261" s="14" t="s">
        <v>1590</v>
      </c>
      <c r="M261" s="14" t="s">
        <v>1592</v>
      </c>
      <c r="N261" s="14" t="s">
        <v>1605</v>
      </c>
      <c r="O261" s="14" t="s">
        <v>1610</v>
      </c>
      <c r="P261" s="14" t="s">
        <v>1623</v>
      </c>
    </row>
    <row r="262" spans="1:16" ht="15" customHeight="1">
      <c r="A262" s="13">
        <v>261</v>
      </c>
      <c r="B262" s="13" t="s">
        <v>337</v>
      </c>
      <c r="C262" s="13" t="s">
        <v>1555</v>
      </c>
      <c r="D262" s="13" t="s">
        <v>1563</v>
      </c>
      <c r="E262" s="13" t="s">
        <v>1573</v>
      </c>
      <c r="F262" s="13" t="s">
        <v>1574</v>
      </c>
      <c r="G262" s="13" t="s">
        <v>1586</v>
      </c>
      <c r="H262" s="13" t="s">
        <v>1587</v>
      </c>
      <c r="I262" s="13" t="s">
        <v>1590</v>
      </c>
      <c r="J262" s="13" t="s">
        <v>1590</v>
      </c>
      <c r="K262" s="13" t="s">
        <v>1587</v>
      </c>
      <c r="L262" s="13" t="s">
        <v>1590</v>
      </c>
      <c r="M262" s="13" t="s">
        <v>1592</v>
      </c>
      <c r="N262" s="13" t="s">
        <v>1605</v>
      </c>
      <c r="O262" s="13" t="s">
        <v>1610</v>
      </c>
      <c r="P262" s="13" t="s">
        <v>1623</v>
      </c>
    </row>
    <row r="263" spans="1:16" ht="15" customHeight="1">
      <c r="A263" s="14">
        <v>262</v>
      </c>
      <c r="B263" s="14" t="s">
        <v>337</v>
      </c>
      <c r="C263" s="14" t="s">
        <v>1558</v>
      </c>
      <c r="D263" s="14" t="s">
        <v>1563</v>
      </c>
      <c r="E263" s="14" t="s">
        <v>1573</v>
      </c>
      <c r="F263" s="14" t="s">
        <v>1574</v>
      </c>
      <c r="G263" s="14" t="s">
        <v>1586</v>
      </c>
      <c r="H263" s="14" t="s">
        <v>1587</v>
      </c>
      <c r="I263" s="14" t="s">
        <v>1589</v>
      </c>
      <c r="J263" s="14" t="s">
        <v>1590</v>
      </c>
      <c r="K263" s="14" t="s">
        <v>1587</v>
      </c>
      <c r="L263" s="14" t="s">
        <v>1589</v>
      </c>
      <c r="M263" s="14" t="s">
        <v>1592</v>
      </c>
      <c r="N263" s="14" t="s">
        <v>1605</v>
      </c>
      <c r="O263" s="14" t="s">
        <v>1610</v>
      </c>
      <c r="P263" s="14" t="s">
        <v>1623</v>
      </c>
    </row>
    <row r="264" spans="1:16" ht="15" customHeight="1">
      <c r="A264" s="13">
        <v>263</v>
      </c>
      <c r="B264" s="13" t="s">
        <v>337</v>
      </c>
      <c r="C264" s="13" t="s">
        <v>1552</v>
      </c>
      <c r="D264" s="13" t="s">
        <v>1560</v>
      </c>
      <c r="E264" s="13" t="s">
        <v>1573</v>
      </c>
      <c r="F264" s="13" t="s">
        <v>1576</v>
      </c>
      <c r="G264" s="13" t="s">
        <v>1585</v>
      </c>
      <c r="H264" s="13" t="s">
        <v>1587</v>
      </c>
      <c r="I264" s="13" t="s">
        <v>1590</v>
      </c>
      <c r="J264" s="13" t="s">
        <v>1590</v>
      </c>
      <c r="K264" s="13" t="s">
        <v>1587</v>
      </c>
      <c r="L264" s="13" t="s">
        <v>1590</v>
      </c>
      <c r="M264" s="13" t="s">
        <v>1592</v>
      </c>
      <c r="N264" s="13" t="s">
        <v>1605</v>
      </c>
      <c r="O264" s="13" t="s">
        <v>1612</v>
      </c>
      <c r="P264" s="13" t="s">
        <v>1623</v>
      </c>
    </row>
    <row r="265" spans="1:16" ht="15" customHeight="1">
      <c r="A265" s="14">
        <v>264</v>
      </c>
      <c r="B265" s="14" t="s">
        <v>337</v>
      </c>
      <c r="C265" s="14" t="s">
        <v>1552</v>
      </c>
      <c r="D265" s="14" t="s">
        <v>1560</v>
      </c>
      <c r="E265" s="14" t="s">
        <v>1573</v>
      </c>
      <c r="F265" s="14" t="s">
        <v>1577</v>
      </c>
      <c r="G265" s="14" t="s">
        <v>1586</v>
      </c>
      <c r="H265" s="14" t="s">
        <v>1587</v>
      </c>
      <c r="I265" s="14" t="s">
        <v>1590</v>
      </c>
      <c r="J265" s="14" t="s">
        <v>1590</v>
      </c>
      <c r="K265" s="14" t="s">
        <v>1587</v>
      </c>
      <c r="L265" s="14" t="s">
        <v>1590</v>
      </c>
      <c r="M265" s="14" t="s">
        <v>1592</v>
      </c>
      <c r="N265" s="14" t="s">
        <v>1605</v>
      </c>
      <c r="O265" s="14" t="s">
        <v>1610</v>
      </c>
      <c r="P265" s="14" t="s">
        <v>1623</v>
      </c>
    </row>
    <row r="266" spans="1:16" ht="15" customHeight="1">
      <c r="A266" s="13">
        <v>265</v>
      </c>
      <c r="B266" s="13" t="s">
        <v>337</v>
      </c>
      <c r="C266" s="13" t="s">
        <v>1552</v>
      </c>
      <c r="D266" s="13" t="s">
        <v>1563</v>
      </c>
      <c r="E266" s="13" t="s">
        <v>1573</v>
      </c>
      <c r="F266" s="13" t="s">
        <v>1577</v>
      </c>
      <c r="G266" s="13" t="s">
        <v>1585</v>
      </c>
      <c r="H266" s="13" t="s">
        <v>1587</v>
      </c>
      <c r="I266" s="13" t="s">
        <v>1589</v>
      </c>
      <c r="J266" s="13" t="s">
        <v>1590</v>
      </c>
      <c r="K266" s="13" t="s">
        <v>1587</v>
      </c>
      <c r="L266" s="13" t="s">
        <v>1590</v>
      </c>
      <c r="M266" s="13" t="s">
        <v>1592</v>
      </c>
      <c r="N266" s="13" t="s">
        <v>1605</v>
      </c>
      <c r="O266" s="13" t="s">
        <v>1610</v>
      </c>
      <c r="P266" s="13" t="s">
        <v>1626</v>
      </c>
    </row>
    <row r="267" spans="1:16" ht="15" customHeight="1">
      <c r="A267" s="14">
        <v>266</v>
      </c>
      <c r="B267" s="14" t="s">
        <v>337</v>
      </c>
      <c r="C267" s="14" t="s">
        <v>1558</v>
      </c>
      <c r="D267" s="14" t="s">
        <v>1560</v>
      </c>
      <c r="E267" s="14" t="s">
        <v>1573</v>
      </c>
      <c r="F267" s="14" t="s">
        <v>1576</v>
      </c>
      <c r="G267" s="14" t="s">
        <v>1586</v>
      </c>
      <c r="H267" s="14" t="s">
        <v>1587</v>
      </c>
      <c r="I267" s="14" t="s">
        <v>1590</v>
      </c>
      <c r="J267" s="14" t="s">
        <v>1590</v>
      </c>
      <c r="K267" s="14" t="s">
        <v>1587</v>
      </c>
      <c r="L267" s="14" t="s">
        <v>1590</v>
      </c>
      <c r="M267" s="14" t="s">
        <v>1592</v>
      </c>
      <c r="N267" s="14" t="s">
        <v>1605</v>
      </c>
      <c r="O267" s="14" t="s">
        <v>1612</v>
      </c>
      <c r="P267" s="14" t="s">
        <v>1623</v>
      </c>
    </row>
    <row r="268" spans="1:16" ht="15" customHeight="1">
      <c r="A268" s="13">
        <v>267</v>
      </c>
      <c r="B268" s="13" t="s">
        <v>337</v>
      </c>
      <c r="C268" s="13" t="s">
        <v>1552</v>
      </c>
      <c r="D268" s="13" t="s">
        <v>1560</v>
      </c>
      <c r="E268" s="13" t="s">
        <v>1573</v>
      </c>
      <c r="F268" s="13" t="s">
        <v>1574</v>
      </c>
      <c r="G268" s="13" t="s">
        <v>1586</v>
      </c>
      <c r="H268" s="13" t="s">
        <v>1587</v>
      </c>
      <c r="I268" s="13" t="s">
        <v>1590</v>
      </c>
      <c r="J268" s="13" t="s">
        <v>1590</v>
      </c>
      <c r="K268" s="13" t="s">
        <v>1589</v>
      </c>
      <c r="L268" s="13" t="s">
        <v>1590</v>
      </c>
      <c r="M268" s="13" t="s">
        <v>1592</v>
      </c>
      <c r="N268" s="13" t="s">
        <v>1605</v>
      </c>
      <c r="O268" s="13" t="s">
        <v>1612</v>
      </c>
      <c r="P268" s="13" t="s">
        <v>1623</v>
      </c>
    </row>
    <row r="269" spans="1:16" ht="15" customHeight="1">
      <c r="A269" s="14">
        <v>268</v>
      </c>
      <c r="B269" s="14" t="s">
        <v>337</v>
      </c>
      <c r="C269" s="14" t="s">
        <v>1552</v>
      </c>
      <c r="D269" s="14" t="s">
        <v>1563</v>
      </c>
      <c r="E269" s="14" t="s">
        <v>1573</v>
      </c>
      <c r="F269" s="14" t="s">
        <v>1574</v>
      </c>
      <c r="G269" s="14" t="s">
        <v>1585</v>
      </c>
      <c r="H269" s="14" t="s">
        <v>1587</v>
      </c>
      <c r="I269" s="14" t="s">
        <v>1589</v>
      </c>
      <c r="J269" s="14" t="s">
        <v>1590</v>
      </c>
      <c r="K269" s="14" t="s">
        <v>1590</v>
      </c>
      <c r="L269" s="14" t="s">
        <v>1590</v>
      </c>
      <c r="M269" s="14" t="s">
        <v>1592</v>
      </c>
      <c r="N269" s="14" t="s">
        <v>1605</v>
      </c>
      <c r="O269" s="14" t="s">
        <v>1610</v>
      </c>
      <c r="P269" s="14" t="s">
        <v>1623</v>
      </c>
    </row>
    <row r="270" spans="1:16" ht="15" customHeight="1">
      <c r="A270" s="13">
        <v>269</v>
      </c>
      <c r="B270" s="13" t="s">
        <v>337</v>
      </c>
      <c r="C270" s="13" t="s">
        <v>1552</v>
      </c>
      <c r="D270" s="13" t="s">
        <v>1560</v>
      </c>
      <c r="E270" s="13" t="s">
        <v>1573</v>
      </c>
      <c r="F270" s="13" t="s">
        <v>1577</v>
      </c>
      <c r="G270" s="13" t="s">
        <v>1585</v>
      </c>
      <c r="H270" s="13" t="s">
        <v>1587</v>
      </c>
      <c r="I270" s="13" t="s">
        <v>1590</v>
      </c>
      <c r="J270" s="13" t="s">
        <v>1590</v>
      </c>
      <c r="K270" s="13" t="s">
        <v>1587</v>
      </c>
      <c r="L270" s="13" t="s">
        <v>1590</v>
      </c>
      <c r="M270" s="13" t="s">
        <v>1592</v>
      </c>
      <c r="N270" s="13" t="s">
        <v>1605</v>
      </c>
      <c r="O270" s="13" t="s">
        <v>1610</v>
      </c>
      <c r="P270" s="13" t="s">
        <v>1623</v>
      </c>
    </row>
    <row r="271" spans="1:16" ht="15" customHeight="1">
      <c r="A271" s="14">
        <v>270</v>
      </c>
      <c r="B271" s="14" t="s">
        <v>337</v>
      </c>
      <c r="C271" s="14" t="s">
        <v>1559</v>
      </c>
      <c r="D271" s="14" t="s">
        <v>1560</v>
      </c>
      <c r="E271" s="14" t="s">
        <v>1572</v>
      </c>
      <c r="F271" s="14" t="s">
        <v>1574</v>
      </c>
      <c r="G271" s="14" t="s">
        <v>1586</v>
      </c>
      <c r="H271" s="14" t="s">
        <v>1587</v>
      </c>
      <c r="I271" s="14" t="s">
        <v>1589</v>
      </c>
      <c r="J271" s="14" t="s">
        <v>1590</v>
      </c>
      <c r="K271" s="14" t="s">
        <v>1587</v>
      </c>
      <c r="L271" s="14" t="s">
        <v>1590</v>
      </c>
      <c r="M271" s="14" t="s">
        <v>1592</v>
      </c>
      <c r="N271" s="14" t="s">
        <v>1601</v>
      </c>
      <c r="O271" s="14" t="s">
        <v>1613</v>
      </c>
      <c r="P271" s="14" t="s">
        <v>1623</v>
      </c>
    </row>
    <row r="272" spans="1:16" ht="15" customHeight="1">
      <c r="A272" s="13">
        <v>271</v>
      </c>
      <c r="B272" s="13" t="s">
        <v>337</v>
      </c>
      <c r="C272" s="13" t="s">
        <v>1552</v>
      </c>
      <c r="D272" s="13" t="s">
        <v>1560</v>
      </c>
      <c r="E272" s="13" t="s">
        <v>1573</v>
      </c>
      <c r="F272" s="13" t="s">
        <v>1574</v>
      </c>
      <c r="G272" s="13" t="s">
        <v>1586</v>
      </c>
      <c r="H272" s="13" t="s">
        <v>1587</v>
      </c>
      <c r="I272" s="13" t="s">
        <v>1590</v>
      </c>
      <c r="J272" s="13" t="s">
        <v>1590</v>
      </c>
      <c r="K272" s="13" t="s">
        <v>1589</v>
      </c>
      <c r="L272" s="13" t="s">
        <v>1590</v>
      </c>
      <c r="M272" s="13" t="s">
        <v>1592</v>
      </c>
      <c r="N272" s="13" t="s">
        <v>1605</v>
      </c>
      <c r="O272" s="13" t="s">
        <v>1612</v>
      </c>
      <c r="P272" s="13" t="s">
        <v>1626</v>
      </c>
    </row>
    <row r="273" spans="1:16" ht="15" customHeight="1">
      <c r="A273" s="14">
        <v>272</v>
      </c>
      <c r="B273" s="14" t="s">
        <v>337</v>
      </c>
      <c r="C273" s="14" t="s">
        <v>1552</v>
      </c>
      <c r="D273" s="14" t="s">
        <v>1563</v>
      </c>
      <c r="E273" s="14" t="s">
        <v>1573</v>
      </c>
      <c r="F273" s="14" t="s">
        <v>1574</v>
      </c>
      <c r="G273" s="14" t="s">
        <v>1586</v>
      </c>
      <c r="H273" s="14" t="s">
        <v>1587</v>
      </c>
      <c r="I273" s="14" t="s">
        <v>1590</v>
      </c>
      <c r="J273" s="14" t="s">
        <v>1590</v>
      </c>
      <c r="K273" s="14" t="s">
        <v>1589</v>
      </c>
      <c r="L273" s="14" t="s">
        <v>1589</v>
      </c>
      <c r="M273" s="14" t="s">
        <v>1592</v>
      </c>
      <c r="N273" s="14" t="s">
        <v>1601</v>
      </c>
      <c r="O273" s="14" t="s">
        <v>1610</v>
      </c>
      <c r="P273" s="14" t="s">
        <v>1623</v>
      </c>
    </row>
    <row r="274" spans="1:16" ht="15" customHeight="1">
      <c r="A274" s="13">
        <v>273</v>
      </c>
      <c r="B274" s="13" t="s">
        <v>337</v>
      </c>
      <c r="C274" s="13" t="s">
        <v>1552</v>
      </c>
      <c r="D274" s="13" t="s">
        <v>1560</v>
      </c>
      <c r="E274" s="13" t="s">
        <v>1573</v>
      </c>
      <c r="F274" s="13" t="s">
        <v>1577</v>
      </c>
      <c r="G274" s="13" t="s">
        <v>1586</v>
      </c>
      <c r="H274" s="13" t="s">
        <v>1587</v>
      </c>
      <c r="I274" s="13" t="s">
        <v>1590</v>
      </c>
      <c r="J274" s="13" t="s">
        <v>1590</v>
      </c>
      <c r="K274" s="13" t="s">
        <v>1587</v>
      </c>
      <c r="L274" s="13" t="s">
        <v>1587</v>
      </c>
      <c r="M274" s="13" t="s">
        <v>1592</v>
      </c>
      <c r="N274" s="13" t="s">
        <v>1605</v>
      </c>
      <c r="O274" s="13" t="s">
        <v>1612</v>
      </c>
      <c r="P274" s="13" t="s">
        <v>1623</v>
      </c>
    </row>
    <row r="275" spans="1:16" ht="15" customHeight="1">
      <c r="A275" s="14">
        <v>274</v>
      </c>
      <c r="B275" s="14" t="s">
        <v>337</v>
      </c>
      <c r="C275" s="14" t="s">
        <v>1552</v>
      </c>
      <c r="D275" s="14" t="s">
        <v>1560</v>
      </c>
      <c r="E275" s="14" t="s">
        <v>1572</v>
      </c>
      <c r="F275" s="14" t="s">
        <v>1577</v>
      </c>
      <c r="G275" s="14" t="s">
        <v>1586</v>
      </c>
      <c r="H275" s="14" t="s">
        <v>1587</v>
      </c>
      <c r="I275" s="14" t="s">
        <v>1590</v>
      </c>
      <c r="J275" s="14" t="s">
        <v>1590</v>
      </c>
      <c r="K275" s="14" t="s">
        <v>1587</v>
      </c>
      <c r="L275" s="14" t="s">
        <v>1590</v>
      </c>
      <c r="M275" s="14" t="s">
        <v>1592</v>
      </c>
      <c r="N275" s="14" t="s">
        <v>1606</v>
      </c>
      <c r="O275" s="14" t="s">
        <v>1610</v>
      </c>
      <c r="P275" s="14" t="s">
        <v>1623</v>
      </c>
    </row>
    <row r="276" spans="1:16" ht="15" customHeight="1">
      <c r="A276" s="13">
        <v>275</v>
      </c>
      <c r="B276" s="13" t="s">
        <v>337</v>
      </c>
      <c r="C276" s="13" t="s">
        <v>1552</v>
      </c>
      <c r="D276" s="13" t="s">
        <v>1560</v>
      </c>
      <c r="E276" s="13" t="s">
        <v>1572</v>
      </c>
      <c r="F276" s="13" t="s">
        <v>1574</v>
      </c>
      <c r="G276" s="13" t="s">
        <v>1585</v>
      </c>
      <c r="H276" s="13" t="s">
        <v>1587</v>
      </c>
      <c r="I276" s="13" t="s">
        <v>1589</v>
      </c>
      <c r="J276" s="13" t="s">
        <v>1590</v>
      </c>
      <c r="K276" s="13" t="s">
        <v>1587</v>
      </c>
      <c r="L276" s="13" t="s">
        <v>1590</v>
      </c>
      <c r="M276" s="13" t="s">
        <v>1592</v>
      </c>
      <c r="N276" s="13" t="s">
        <v>1605</v>
      </c>
      <c r="O276" s="13" t="s">
        <v>1610</v>
      </c>
      <c r="P276" s="13" t="s">
        <v>1628</v>
      </c>
    </row>
    <row r="277" spans="1:16" ht="15" customHeight="1">
      <c r="A277" s="14">
        <v>276</v>
      </c>
      <c r="B277" s="14" t="s">
        <v>337</v>
      </c>
      <c r="C277" s="14" t="s">
        <v>1552</v>
      </c>
      <c r="D277" s="14" t="s">
        <v>1560</v>
      </c>
      <c r="E277" s="14" t="s">
        <v>1573</v>
      </c>
      <c r="F277" s="14" t="s">
        <v>1574</v>
      </c>
      <c r="G277" s="14" t="s">
        <v>1586</v>
      </c>
      <c r="H277" s="14" t="s">
        <v>1587</v>
      </c>
      <c r="I277" s="14" t="s">
        <v>1590</v>
      </c>
      <c r="J277" s="14" t="s">
        <v>1590</v>
      </c>
      <c r="K277" s="14" t="s">
        <v>1587</v>
      </c>
      <c r="L277" s="14" t="s">
        <v>1590</v>
      </c>
      <c r="M277" s="14" t="s">
        <v>1592</v>
      </c>
      <c r="N277" s="14" t="s">
        <v>1605</v>
      </c>
      <c r="O277" s="14" t="s">
        <v>1610</v>
      </c>
      <c r="P277" s="14" t="s">
        <v>1623</v>
      </c>
    </row>
    <row r="278" spans="1:16" ht="15" customHeight="1">
      <c r="A278" s="13">
        <v>277</v>
      </c>
      <c r="B278" s="13" t="s">
        <v>337</v>
      </c>
      <c r="C278" s="13" t="s">
        <v>1552</v>
      </c>
      <c r="D278" s="13" t="s">
        <v>1560</v>
      </c>
      <c r="E278" s="13" t="s">
        <v>1573</v>
      </c>
      <c r="F278" s="13" t="s">
        <v>1574</v>
      </c>
      <c r="G278" s="13" t="s">
        <v>1586</v>
      </c>
      <c r="H278" s="13" t="s">
        <v>1587</v>
      </c>
      <c r="I278" s="13" t="s">
        <v>1589</v>
      </c>
      <c r="J278" s="13" t="s">
        <v>1590</v>
      </c>
      <c r="K278" s="13" t="s">
        <v>1587</v>
      </c>
      <c r="L278" s="13" t="s">
        <v>1590</v>
      </c>
      <c r="M278" s="13" t="s">
        <v>1597</v>
      </c>
      <c r="N278" s="13" t="s">
        <v>1605</v>
      </c>
      <c r="O278" s="13" t="s">
        <v>1610</v>
      </c>
      <c r="P278" s="13" t="s">
        <v>1623</v>
      </c>
    </row>
    <row r="279" spans="1:16" ht="15" customHeight="1">
      <c r="A279" s="14">
        <v>278</v>
      </c>
      <c r="B279" s="14" t="s">
        <v>337</v>
      </c>
      <c r="C279" s="14" t="s">
        <v>1559</v>
      </c>
      <c r="D279" s="14" t="s">
        <v>1560</v>
      </c>
      <c r="E279" s="14" t="s">
        <v>1573</v>
      </c>
      <c r="F279" s="14" t="s">
        <v>1574</v>
      </c>
      <c r="G279" s="14" t="s">
        <v>1586</v>
      </c>
      <c r="H279" s="14" t="s">
        <v>1587</v>
      </c>
      <c r="I279" s="14" t="s">
        <v>1590</v>
      </c>
      <c r="J279" s="14" t="s">
        <v>1590</v>
      </c>
      <c r="K279" s="14" t="s">
        <v>1587</v>
      </c>
      <c r="L279" s="14" t="s">
        <v>1589</v>
      </c>
      <c r="M279" s="14" t="s">
        <v>1592</v>
      </c>
      <c r="N279" s="14" t="s">
        <v>1605</v>
      </c>
      <c r="O279" s="14" t="s">
        <v>1610</v>
      </c>
      <c r="P279" s="14" t="s">
        <v>1623</v>
      </c>
    </row>
    <row r="280" spans="1:16" ht="15" customHeight="1">
      <c r="A280" s="13">
        <v>279</v>
      </c>
      <c r="B280" s="13" t="s">
        <v>337</v>
      </c>
      <c r="C280" s="13" t="s">
        <v>1552</v>
      </c>
      <c r="D280" s="13" t="s">
        <v>1560</v>
      </c>
      <c r="E280" s="13" t="s">
        <v>1573</v>
      </c>
      <c r="F280" s="13" t="s">
        <v>1574</v>
      </c>
      <c r="G280" s="13" t="s">
        <v>1585</v>
      </c>
      <c r="H280" s="13" t="s">
        <v>1587</v>
      </c>
      <c r="I280" s="13" t="s">
        <v>1590</v>
      </c>
      <c r="J280" s="13" t="s">
        <v>1590</v>
      </c>
      <c r="K280" s="13" t="s">
        <v>1587</v>
      </c>
      <c r="L280" s="13" t="s">
        <v>1590</v>
      </c>
      <c r="M280" s="13" t="s">
        <v>1592</v>
      </c>
      <c r="N280" s="13" t="s">
        <v>1606</v>
      </c>
      <c r="O280" s="13" t="s">
        <v>1610</v>
      </c>
      <c r="P280" s="13" t="s">
        <v>1623</v>
      </c>
    </row>
    <row r="281" spans="1:16" ht="15" customHeight="1">
      <c r="A281" s="14">
        <v>280</v>
      </c>
      <c r="B281" s="14" t="s">
        <v>337</v>
      </c>
      <c r="C281" s="14" t="s">
        <v>1552</v>
      </c>
      <c r="D281" s="14" t="s">
        <v>1563</v>
      </c>
      <c r="E281" s="14" t="s">
        <v>1573</v>
      </c>
      <c r="F281" s="14" t="s">
        <v>1574</v>
      </c>
      <c r="G281" s="14" t="s">
        <v>1586</v>
      </c>
      <c r="H281" s="14" t="s">
        <v>1587</v>
      </c>
      <c r="I281" s="14" t="s">
        <v>1590</v>
      </c>
      <c r="J281" s="14" t="s">
        <v>1590</v>
      </c>
      <c r="K281" s="14" t="s">
        <v>1587</v>
      </c>
      <c r="L281" s="14" t="s">
        <v>1590</v>
      </c>
      <c r="M281" s="14" t="s">
        <v>1592</v>
      </c>
      <c r="N281" s="14" t="s">
        <v>1606</v>
      </c>
      <c r="O281" s="14" t="s">
        <v>1610</v>
      </c>
      <c r="P281" s="14" t="s">
        <v>1623</v>
      </c>
    </row>
    <row r="282" spans="1:16" ht="15" customHeight="1">
      <c r="A282" s="13">
        <v>281</v>
      </c>
      <c r="B282" s="13" t="s">
        <v>337</v>
      </c>
      <c r="C282" s="13" t="s">
        <v>1552</v>
      </c>
      <c r="D282" s="13" t="s">
        <v>1563</v>
      </c>
      <c r="E282" s="13" t="s">
        <v>1572</v>
      </c>
      <c r="F282" s="13" t="s">
        <v>1574</v>
      </c>
      <c r="G282" s="13" t="s">
        <v>1586</v>
      </c>
      <c r="H282" s="13" t="s">
        <v>1587</v>
      </c>
      <c r="I282" s="13" t="s">
        <v>1590</v>
      </c>
      <c r="J282" s="13" t="s">
        <v>1590</v>
      </c>
      <c r="K282" s="13" t="s">
        <v>1587</v>
      </c>
      <c r="L282" s="13" t="s">
        <v>1590</v>
      </c>
      <c r="M282" s="13" t="s">
        <v>1592</v>
      </c>
      <c r="N282" s="13" t="s">
        <v>1606</v>
      </c>
      <c r="O282" s="13" t="s">
        <v>1610</v>
      </c>
      <c r="P282" s="13" t="s">
        <v>1627</v>
      </c>
    </row>
    <row r="283" spans="1:16" ht="15" customHeight="1">
      <c r="A283" s="14">
        <v>282</v>
      </c>
      <c r="B283" s="14" t="s">
        <v>337</v>
      </c>
      <c r="C283" s="14" t="s">
        <v>1552</v>
      </c>
      <c r="D283" s="14" t="s">
        <v>1563</v>
      </c>
      <c r="E283" s="14" t="s">
        <v>1573</v>
      </c>
      <c r="F283" s="14" t="s">
        <v>1576</v>
      </c>
      <c r="G283" s="14" t="s">
        <v>1586</v>
      </c>
      <c r="H283" s="14" t="s">
        <v>1587</v>
      </c>
      <c r="I283" s="14" t="s">
        <v>1590</v>
      </c>
      <c r="J283" s="14" t="s">
        <v>1590</v>
      </c>
      <c r="K283" s="14" t="s">
        <v>1587</v>
      </c>
      <c r="L283" s="14" t="s">
        <v>1590</v>
      </c>
      <c r="M283" s="14" t="s">
        <v>1592</v>
      </c>
      <c r="N283" s="14" t="s">
        <v>1606</v>
      </c>
      <c r="O283" s="14" t="s">
        <v>1610</v>
      </c>
      <c r="P283" s="14" t="s">
        <v>1623</v>
      </c>
    </row>
    <row r="284" spans="1:16" ht="15" customHeight="1">
      <c r="A284" s="13">
        <v>283</v>
      </c>
      <c r="B284" s="13" t="s">
        <v>337</v>
      </c>
      <c r="C284" s="13" t="s">
        <v>1552</v>
      </c>
      <c r="D284" s="13" t="s">
        <v>1563</v>
      </c>
      <c r="E284" s="13" t="s">
        <v>1573</v>
      </c>
      <c r="F284" s="13" t="s">
        <v>1577</v>
      </c>
      <c r="G284" s="13" t="s">
        <v>1585</v>
      </c>
      <c r="H284" s="13" t="s">
        <v>1587</v>
      </c>
      <c r="I284" s="13" t="s">
        <v>1589</v>
      </c>
      <c r="J284" s="13" t="s">
        <v>1590</v>
      </c>
      <c r="K284" s="13" t="s">
        <v>1587</v>
      </c>
      <c r="L284" s="13" t="s">
        <v>1587</v>
      </c>
      <c r="M284" s="13" t="s">
        <v>1592</v>
      </c>
      <c r="N284" s="13" t="s">
        <v>1605</v>
      </c>
      <c r="O284" s="13" t="s">
        <v>1610</v>
      </c>
      <c r="P284" s="13" t="s">
        <v>1623</v>
      </c>
    </row>
    <row r="285" spans="1:16" ht="15" customHeight="1">
      <c r="A285" s="14">
        <v>284</v>
      </c>
      <c r="B285" s="14" t="s">
        <v>337</v>
      </c>
      <c r="C285" s="14" t="s">
        <v>1552</v>
      </c>
      <c r="D285" s="14" t="s">
        <v>1560</v>
      </c>
      <c r="E285" s="14" t="s">
        <v>1572</v>
      </c>
      <c r="F285" s="14" t="s">
        <v>1576</v>
      </c>
      <c r="G285" s="14" t="s">
        <v>1585</v>
      </c>
      <c r="H285" s="14" t="s">
        <v>1587</v>
      </c>
      <c r="I285" s="14" t="s">
        <v>1589</v>
      </c>
      <c r="J285" s="14" t="s">
        <v>1590</v>
      </c>
      <c r="K285" s="14" t="s">
        <v>1589</v>
      </c>
      <c r="L285" s="14" t="s">
        <v>1590</v>
      </c>
      <c r="M285" s="14" t="s">
        <v>1592</v>
      </c>
      <c r="N285" s="14" t="s">
        <v>1605</v>
      </c>
      <c r="O285" s="14" t="s">
        <v>1610</v>
      </c>
      <c r="P285" s="14" t="s">
        <v>1623</v>
      </c>
    </row>
    <row r="286" spans="1:16" ht="15" customHeight="1">
      <c r="A286" s="13">
        <v>285</v>
      </c>
      <c r="B286" s="13" t="s">
        <v>337</v>
      </c>
      <c r="C286" s="13" t="s">
        <v>1552</v>
      </c>
      <c r="D286" s="13" t="s">
        <v>1560</v>
      </c>
      <c r="E286" s="13" t="s">
        <v>1572</v>
      </c>
      <c r="F286" s="13" t="s">
        <v>1577</v>
      </c>
      <c r="G286" s="13" t="s">
        <v>1583</v>
      </c>
      <c r="H286" s="13" t="s">
        <v>1587</v>
      </c>
      <c r="I286" s="13" t="s">
        <v>1590</v>
      </c>
      <c r="J286" s="13" t="s">
        <v>1590</v>
      </c>
      <c r="K286" s="13" t="s">
        <v>1587</v>
      </c>
      <c r="L286" s="13" t="s">
        <v>1589</v>
      </c>
      <c r="M286" s="13" t="s">
        <v>1595</v>
      </c>
      <c r="N286" s="13" t="s">
        <v>1606</v>
      </c>
      <c r="O286" s="13" t="s">
        <v>1610</v>
      </c>
      <c r="P286" s="13" t="s">
        <v>1626</v>
      </c>
    </row>
    <row r="287" spans="1:16" ht="15" customHeight="1">
      <c r="A287" s="14">
        <v>286</v>
      </c>
      <c r="B287" s="14" t="s">
        <v>337</v>
      </c>
      <c r="C287" s="14" t="s">
        <v>1552</v>
      </c>
      <c r="D287" s="14" t="s">
        <v>1560</v>
      </c>
      <c r="E287" s="14" t="s">
        <v>1573</v>
      </c>
      <c r="F287" s="14" t="s">
        <v>1577</v>
      </c>
      <c r="G287" s="14" t="s">
        <v>1586</v>
      </c>
      <c r="H287" s="14" t="s">
        <v>1587</v>
      </c>
      <c r="I287" s="14" t="s">
        <v>1590</v>
      </c>
      <c r="J287" s="14" t="s">
        <v>1590</v>
      </c>
      <c r="K287" s="14" t="s">
        <v>1587</v>
      </c>
      <c r="L287" s="14" t="s">
        <v>1590</v>
      </c>
      <c r="M287" s="14" t="s">
        <v>1592</v>
      </c>
      <c r="N287" s="14" t="s">
        <v>1605</v>
      </c>
      <c r="O287" s="14" t="s">
        <v>1610</v>
      </c>
      <c r="P287" s="14" t="s">
        <v>1623</v>
      </c>
    </row>
    <row r="288" spans="1:16" ht="15" customHeight="1">
      <c r="A288" s="13">
        <v>287</v>
      </c>
      <c r="B288" s="13" t="s">
        <v>337</v>
      </c>
      <c r="C288" s="13" t="s">
        <v>1552</v>
      </c>
      <c r="D288" s="13" t="s">
        <v>1563</v>
      </c>
      <c r="E288" s="13" t="s">
        <v>1573</v>
      </c>
      <c r="F288" s="13" t="s">
        <v>1574</v>
      </c>
      <c r="G288" s="13" t="s">
        <v>1586</v>
      </c>
      <c r="H288" s="13" t="s">
        <v>1587</v>
      </c>
      <c r="I288" s="13" t="s">
        <v>1590</v>
      </c>
      <c r="J288" s="13" t="s">
        <v>1590</v>
      </c>
      <c r="K288" s="13" t="s">
        <v>1587</v>
      </c>
      <c r="L288" s="13" t="s">
        <v>1590</v>
      </c>
      <c r="M288" s="13" t="s">
        <v>1592</v>
      </c>
      <c r="N288" s="13" t="s">
        <v>1605</v>
      </c>
      <c r="O288" s="13" t="s">
        <v>1613</v>
      </c>
      <c r="P288" s="13" t="s">
        <v>1626</v>
      </c>
    </row>
    <row r="289" spans="1:16" ht="15" customHeight="1">
      <c r="A289" s="14">
        <v>288</v>
      </c>
      <c r="B289" s="14" t="s">
        <v>337</v>
      </c>
      <c r="C289" s="14" t="s">
        <v>1558</v>
      </c>
      <c r="D289" s="14" t="s">
        <v>1563</v>
      </c>
      <c r="E289" s="14" t="s">
        <v>1573</v>
      </c>
      <c r="F289" s="14" t="s">
        <v>1577</v>
      </c>
      <c r="G289" s="14" t="s">
        <v>1586</v>
      </c>
      <c r="H289" s="14" t="s">
        <v>1587</v>
      </c>
      <c r="I289" s="14" t="s">
        <v>1590</v>
      </c>
      <c r="J289" s="14" t="s">
        <v>1590</v>
      </c>
      <c r="K289" s="14" t="s">
        <v>1587</v>
      </c>
      <c r="L289" s="14" t="s">
        <v>1589</v>
      </c>
      <c r="M289" s="14" t="s">
        <v>1592</v>
      </c>
      <c r="N289" s="14" t="s">
        <v>1605</v>
      </c>
      <c r="O289" s="14" t="s">
        <v>1610</v>
      </c>
      <c r="P289" s="14" t="s">
        <v>1626</v>
      </c>
    </row>
    <row r="290" spans="1:16" ht="15" customHeight="1">
      <c r="A290" s="13">
        <v>289</v>
      </c>
      <c r="B290" s="13" t="s">
        <v>337</v>
      </c>
      <c r="C290" s="13" t="s">
        <v>1552</v>
      </c>
      <c r="D290" s="13" t="s">
        <v>1563</v>
      </c>
      <c r="E290" s="13" t="s">
        <v>1573</v>
      </c>
      <c r="F290" s="13" t="s">
        <v>1574</v>
      </c>
      <c r="G290" s="13" t="s">
        <v>1586</v>
      </c>
      <c r="H290" s="13" t="s">
        <v>1587</v>
      </c>
      <c r="I290" s="13" t="s">
        <v>1590</v>
      </c>
      <c r="J290" s="13" t="s">
        <v>1590</v>
      </c>
      <c r="K290" s="13" t="s">
        <v>1589</v>
      </c>
      <c r="L290" s="13" t="s">
        <v>1590</v>
      </c>
      <c r="M290" s="13" t="s">
        <v>1592</v>
      </c>
      <c r="N290" s="13" t="s">
        <v>1605</v>
      </c>
      <c r="O290" s="13" t="s">
        <v>1610</v>
      </c>
      <c r="P290" s="13" t="s">
        <v>1626</v>
      </c>
    </row>
    <row r="291" spans="1:16" ht="15" customHeight="1">
      <c r="A291" s="14">
        <v>290</v>
      </c>
      <c r="B291" s="14" t="s">
        <v>337</v>
      </c>
      <c r="C291" s="14" t="s">
        <v>1552</v>
      </c>
      <c r="D291" s="14" t="s">
        <v>1563</v>
      </c>
      <c r="E291" s="14" t="s">
        <v>1573</v>
      </c>
      <c r="F291" s="14" t="s">
        <v>1574</v>
      </c>
      <c r="G291" s="14" t="s">
        <v>1583</v>
      </c>
      <c r="H291" s="14" t="s">
        <v>1587</v>
      </c>
      <c r="I291" s="14" t="s">
        <v>1590</v>
      </c>
      <c r="J291" s="14" t="s">
        <v>1589</v>
      </c>
      <c r="K291" s="14" t="s">
        <v>1589</v>
      </c>
      <c r="L291" s="14" t="s">
        <v>1590</v>
      </c>
      <c r="M291" s="14" t="s">
        <v>1592</v>
      </c>
      <c r="N291" s="14" t="s">
        <v>1605</v>
      </c>
      <c r="O291" s="14" t="s">
        <v>1610</v>
      </c>
      <c r="P291" s="14" t="s">
        <v>1626</v>
      </c>
    </row>
    <row r="292" spans="1:16" ht="15" customHeight="1">
      <c r="A292" s="13">
        <v>291</v>
      </c>
      <c r="B292" s="13" t="s">
        <v>337</v>
      </c>
      <c r="C292" s="13" t="s">
        <v>1555</v>
      </c>
      <c r="D292" s="13" t="s">
        <v>1560</v>
      </c>
      <c r="E292" s="13" t="s">
        <v>1573</v>
      </c>
      <c r="F292" s="13" t="s">
        <v>1574</v>
      </c>
      <c r="G292" s="13" t="s">
        <v>1585</v>
      </c>
      <c r="H292" s="13" t="s">
        <v>1587</v>
      </c>
      <c r="I292" s="13" t="s">
        <v>1589</v>
      </c>
      <c r="J292" s="13" t="s">
        <v>1590</v>
      </c>
      <c r="K292" s="13" t="s">
        <v>1587</v>
      </c>
      <c r="L292" s="13" t="s">
        <v>1590</v>
      </c>
      <c r="M292" s="13" t="s">
        <v>1592</v>
      </c>
      <c r="N292" s="13" t="s">
        <v>1605</v>
      </c>
      <c r="O292" s="13" t="s">
        <v>1610</v>
      </c>
      <c r="P292" s="13" t="s">
        <v>1623</v>
      </c>
    </row>
    <row r="293" spans="1:16" ht="15" customHeight="1">
      <c r="A293" s="14">
        <v>292</v>
      </c>
      <c r="B293" s="14" t="s">
        <v>337</v>
      </c>
      <c r="C293" s="14" t="s">
        <v>1552</v>
      </c>
      <c r="D293" s="14" t="s">
        <v>1563</v>
      </c>
      <c r="E293" s="14" t="s">
        <v>1573</v>
      </c>
      <c r="F293" s="14" t="s">
        <v>1577</v>
      </c>
      <c r="G293" s="14" t="s">
        <v>1586</v>
      </c>
      <c r="H293" s="14" t="s">
        <v>1587</v>
      </c>
      <c r="I293" s="14" t="s">
        <v>1590</v>
      </c>
      <c r="J293" s="14" t="s">
        <v>1589</v>
      </c>
      <c r="K293" s="14" t="s">
        <v>1587</v>
      </c>
      <c r="L293" s="14" t="s">
        <v>1590</v>
      </c>
      <c r="M293" s="14" t="s">
        <v>1592</v>
      </c>
      <c r="N293" s="14" t="s">
        <v>1605</v>
      </c>
      <c r="O293" s="14" t="s">
        <v>1610</v>
      </c>
      <c r="P293" s="14" t="s">
        <v>1626</v>
      </c>
    </row>
    <row r="294" spans="1:16" ht="15" customHeight="1">
      <c r="A294" s="13">
        <v>293</v>
      </c>
      <c r="B294" s="13" t="s">
        <v>337</v>
      </c>
      <c r="C294" s="13" t="s">
        <v>1559</v>
      </c>
      <c r="D294" s="13" t="s">
        <v>1560</v>
      </c>
      <c r="E294" s="13" t="s">
        <v>1573</v>
      </c>
      <c r="F294" s="13" t="s">
        <v>1574</v>
      </c>
      <c r="G294" s="13" t="s">
        <v>1586</v>
      </c>
      <c r="H294" s="13" t="s">
        <v>1587</v>
      </c>
      <c r="I294" s="13" t="s">
        <v>1590</v>
      </c>
      <c r="J294" s="13" t="s">
        <v>1590</v>
      </c>
      <c r="K294" s="13" t="s">
        <v>1589</v>
      </c>
      <c r="L294" s="13" t="s">
        <v>1590</v>
      </c>
      <c r="M294" s="13" t="s">
        <v>1592</v>
      </c>
      <c r="N294" s="13" t="s">
        <v>1605</v>
      </c>
      <c r="O294" s="13" t="s">
        <v>1610</v>
      </c>
      <c r="P294" s="13" t="s">
        <v>1628</v>
      </c>
    </row>
    <row r="295" spans="1:16" ht="15" customHeight="1">
      <c r="A295" s="14">
        <v>294</v>
      </c>
      <c r="B295" s="14" t="s">
        <v>337</v>
      </c>
      <c r="C295" s="14" t="s">
        <v>1552</v>
      </c>
      <c r="D295" s="14" t="s">
        <v>1560</v>
      </c>
      <c r="E295" s="14" t="s">
        <v>1573</v>
      </c>
      <c r="F295" s="14" t="s">
        <v>1576</v>
      </c>
      <c r="G295" s="14" t="s">
        <v>1586</v>
      </c>
      <c r="H295" s="14" t="s">
        <v>1587</v>
      </c>
      <c r="I295" s="14" t="s">
        <v>1589</v>
      </c>
      <c r="J295" s="14" t="s">
        <v>1589</v>
      </c>
      <c r="K295" s="14" t="s">
        <v>1590</v>
      </c>
      <c r="L295" s="14" t="s">
        <v>1587</v>
      </c>
      <c r="M295" s="14" t="s">
        <v>1592</v>
      </c>
      <c r="N295" s="14" t="s">
        <v>1606</v>
      </c>
      <c r="O295" s="14" t="s">
        <v>1612</v>
      </c>
      <c r="P295" s="14" t="s">
        <v>1623</v>
      </c>
    </row>
    <row r="296" spans="1:16" ht="15" customHeight="1">
      <c r="A296" s="13">
        <v>295</v>
      </c>
      <c r="B296" s="13" t="s">
        <v>337</v>
      </c>
      <c r="C296" s="13" t="s">
        <v>1552</v>
      </c>
      <c r="D296" s="13" t="s">
        <v>1560</v>
      </c>
      <c r="E296" s="13" t="s">
        <v>1573</v>
      </c>
      <c r="F296" s="13" t="s">
        <v>1574</v>
      </c>
      <c r="G296" s="13" t="s">
        <v>1586</v>
      </c>
      <c r="H296" s="13" t="s">
        <v>1587</v>
      </c>
      <c r="I296" s="13" t="s">
        <v>1589</v>
      </c>
      <c r="J296" s="13" t="s">
        <v>1590</v>
      </c>
      <c r="K296" s="13" t="s">
        <v>1589</v>
      </c>
      <c r="L296" s="13" t="s">
        <v>1589</v>
      </c>
      <c r="M296" s="13" t="s">
        <v>1592</v>
      </c>
      <c r="N296" s="13" t="s">
        <v>1605</v>
      </c>
      <c r="O296" s="13" t="s">
        <v>1610</v>
      </c>
      <c r="P296" s="13" t="s">
        <v>1623</v>
      </c>
    </row>
    <row r="297" spans="1:16" ht="15" customHeight="1">
      <c r="A297" s="14">
        <v>296</v>
      </c>
      <c r="B297" s="14" t="s">
        <v>337</v>
      </c>
      <c r="C297" s="14" t="s">
        <v>1552</v>
      </c>
      <c r="D297" s="14" t="s">
        <v>1560</v>
      </c>
      <c r="E297" s="14" t="s">
        <v>1573</v>
      </c>
      <c r="F297" s="14" t="s">
        <v>1574</v>
      </c>
      <c r="G297" s="14" t="s">
        <v>1586</v>
      </c>
      <c r="H297" s="14" t="s">
        <v>1587</v>
      </c>
      <c r="I297" s="14" t="s">
        <v>1589</v>
      </c>
      <c r="J297" s="14" t="s">
        <v>1590</v>
      </c>
      <c r="K297" s="14" t="s">
        <v>1589</v>
      </c>
      <c r="L297" s="14" t="s">
        <v>1589</v>
      </c>
      <c r="M297" s="14" t="s">
        <v>1592</v>
      </c>
      <c r="N297" s="14" t="s">
        <v>1605</v>
      </c>
      <c r="O297" s="14" t="s">
        <v>1612</v>
      </c>
      <c r="P297" s="14" t="s">
        <v>1626</v>
      </c>
    </row>
    <row r="298" spans="1:16" ht="15" customHeight="1">
      <c r="A298" s="13">
        <v>297</v>
      </c>
      <c r="B298" s="13" t="s">
        <v>337</v>
      </c>
      <c r="C298" s="13" t="s">
        <v>1558</v>
      </c>
      <c r="D298" s="13" t="s">
        <v>1563</v>
      </c>
      <c r="E298" s="13" t="s">
        <v>1573</v>
      </c>
      <c r="F298" s="13" t="s">
        <v>1574</v>
      </c>
      <c r="G298" s="13" t="s">
        <v>1586</v>
      </c>
      <c r="H298" s="13" t="s">
        <v>1587</v>
      </c>
      <c r="I298" s="13" t="s">
        <v>1590</v>
      </c>
      <c r="J298" s="13" t="s">
        <v>1590</v>
      </c>
      <c r="K298" s="13" t="s">
        <v>1587</v>
      </c>
      <c r="L298" s="13" t="s">
        <v>1589</v>
      </c>
      <c r="M298" s="13" t="s">
        <v>1592</v>
      </c>
      <c r="N298" s="13" t="s">
        <v>1605</v>
      </c>
      <c r="O298" s="13" t="s">
        <v>1610</v>
      </c>
      <c r="P298" s="13" t="s">
        <v>1623</v>
      </c>
    </row>
    <row r="299" spans="1:16" ht="15" customHeight="1">
      <c r="A299" s="14">
        <v>298</v>
      </c>
      <c r="B299" s="14" t="s">
        <v>337</v>
      </c>
      <c r="C299" s="14" t="s">
        <v>1552</v>
      </c>
      <c r="D299" s="14" t="s">
        <v>1563</v>
      </c>
      <c r="E299" s="14" t="s">
        <v>1573</v>
      </c>
      <c r="F299" s="14" t="s">
        <v>1574</v>
      </c>
      <c r="G299" s="14" t="s">
        <v>1586</v>
      </c>
      <c r="H299" s="14" t="s">
        <v>1587</v>
      </c>
      <c r="I299" s="14" t="s">
        <v>1590</v>
      </c>
      <c r="J299" s="14" t="s">
        <v>1590</v>
      </c>
      <c r="K299" s="14" t="s">
        <v>1587</v>
      </c>
      <c r="L299" s="14" t="s">
        <v>1587</v>
      </c>
      <c r="M299" s="14" t="s">
        <v>1592</v>
      </c>
      <c r="N299" s="14" t="s">
        <v>1605</v>
      </c>
      <c r="O299" s="14" t="s">
        <v>1610</v>
      </c>
      <c r="P299" s="14" t="s">
        <v>1623</v>
      </c>
    </row>
    <row r="300" spans="1:16" ht="15" customHeight="1">
      <c r="A300" s="13">
        <v>299</v>
      </c>
      <c r="B300" s="13" t="s">
        <v>337</v>
      </c>
      <c r="C300" s="13" t="s">
        <v>1552</v>
      </c>
      <c r="D300" s="13" t="s">
        <v>1560</v>
      </c>
      <c r="E300" s="13" t="s">
        <v>1573</v>
      </c>
      <c r="F300" s="13" t="s">
        <v>1574</v>
      </c>
      <c r="G300" s="13" t="s">
        <v>1586</v>
      </c>
      <c r="H300" s="13" t="s">
        <v>1587</v>
      </c>
      <c r="I300" s="13" t="s">
        <v>1590</v>
      </c>
      <c r="J300" s="13" t="s">
        <v>1590</v>
      </c>
      <c r="K300" s="13" t="s">
        <v>1589</v>
      </c>
      <c r="L300" s="13" t="s">
        <v>1590</v>
      </c>
      <c r="M300" s="13" t="s">
        <v>1597</v>
      </c>
      <c r="N300" s="13" t="s">
        <v>1605</v>
      </c>
      <c r="O300" s="13" t="s">
        <v>1610</v>
      </c>
      <c r="P300" s="13" t="s">
        <v>1626</v>
      </c>
    </row>
    <row r="301" spans="1:16" ht="15" customHeight="1">
      <c r="A301" s="14">
        <v>300</v>
      </c>
      <c r="B301" s="14" t="s">
        <v>337</v>
      </c>
      <c r="C301" s="14" t="s">
        <v>1552</v>
      </c>
      <c r="D301" s="14" t="s">
        <v>1560</v>
      </c>
      <c r="E301" s="14" t="s">
        <v>1573</v>
      </c>
      <c r="F301" s="14" t="s">
        <v>1577</v>
      </c>
      <c r="G301" s="14" t="s">
        <v>1586</v>
      </c>
      <c r="H301" s="14" t="s">
        <v>1587</v>
      </c>
      <c r="I301" s="14" t="s">
        <v>1590</v>
      </c>
      <c r="J301" s="14" t="s">
        <v>1590</v>
      </c>
      <c r="K301" s="14" t="s">
        <v>1589</v>
      </c>
      <c r="L301" s="14" t="s">
        <v>1590</v>
      </c>
      <c r="M301" s="14" t="s">
        <v>1592</v>
      </c>
      <c r="N301" s="14" t="s">
        <v>1605</v>
      </c>
      <c r="O301" s="14" t="s">
        <v>1610</v>
      </c>
      <c r="P301" s="14" t="s">
        <v>1623</v>
      </c>
    </row>
    <row r="302" spans="1:16" ht="15" customHeight="1">
      <c r="A302" s="13">
        <v>301</v>
      </c>
      <c r="B302" s="13" t="s">
        <v>337</v>
      </c>
      <c r="C302" s="13" t="s">
        <v>1559</v>
      </c>
      <c r="D302" s="13" t="s">
        <v>1560</v>
      </c>
      <c r="E302" s="13" t="s">
        <v>1573</v>
      </c>
      <c r="F302" s="13" t="s">
        <v>1576</v>
      </c>
      <c r="G302" s="13" t="s">
        <v>1586</v>
      </c>
      <c r="H302" s="13" t="s">
        <v>1587</v>
      </c>
      <c r="I302" s="13" t="s">
        <v>1590</v>
      </c>
      <c r="J302" s="13" t="s">
        <v>1589</v>
      </c>
      <c r="K302" s="13" t="s">
        <v>1587</v>
      </c>
      <c r="L302" s="13" t="s">
        <v>1590</v>
      </c>
      <c r="M302" s="13" t="s">
        <v>1592</v>
      </c>
      <c r="N302" s="13" t="s">
        <v>1605</v>
      </c>
      <c r="O302" s="13" t="s">
        <v>1610</v>
      </c>
      <c r="P302" s="13" t="s">
        <v>1628</v>
      </c>
    </row>
    <row r="303" spans="1:16" ht="15" customHeight="1">
      <c r="A303" s="14">
        <v>302</v>
      </c>
      <c r="B303" s="14" t="s">
        <v>337</v>
      </c>
      <c r="C303" s="14" t="s">
        <v>1552</v>
      </c>
      <c r="D303" s="14" t="s">
        <v>1560</v>
      </c>
      <c r="E303" s="14" t="s">
        <v>1573</v>
      </c>
      <c r="F303" s="14" t="s">
        <v>1576</v>
      </c>
      <c r="G303" s="14" t="s">
        <v>1586</v>
      </c>
      <c r="H303" s="14" t="s">
        <v>1587</v>
      </c>
      <c r="I303" s="14" t="s">
        <v>1590</v>
      </c>
      <c r="J303" s="14" t="s">
        <v>1590</v>
      </c>
      <c r="K303" s="14" t="s">
        <v>1587</v>
      </c>
      <c r="L303" s="14" t="s">
        <v>1590</v>
      </c>
      <c r="M303" s="14" t="s">
        <v>1592</v>
      </c>
      <c r="N303" s="14" t="s">
        <v>1605</v>
      </c>
      <c r="O303" s="14" t="s">
        <v>1610</v>
      </c>
      <c r="P303" s="14" t="s">
        <v>1626</v>
      </c>
    </row>
    <row r="304" spans="1:16" ht="15" customHeight="1">
      <c r="A304" s="13">
        <v>303</v>
      </c>
      <c r="B304" s="13" t="s">
        <v>337</v>
      </c>
      <c r="C304" s="13" t="s">
        <v>1552</v>
      </c>
      <c r="D304" s="13" t="s">
        <v>1560</v>
      </c>
      <c r="E304" s="13" t="s">
        <v>1573</v>
      </c>
      <c r="F304" s="13" t="s">
        <v>1576</v>
      </c>
      <c r="G304" s="13" t="s">
        <v>1586</v>
      </c>
      <c r="H304" s="13" t="s">
        <v>1587</v>
      </c>
      <c r="I304" s="13" t="s">
        <v>1590</v>
      </c>
      <c r="J304" s="13" t="s">
        <v>1590</v>
      </c>
      <c r="K304" s="13" t="s">
        <v>1587</v>
      </c>
      <c r="L304" s="13" t="s">
        <v>1590</v>
      </c>
      <c r="M304" s="13" t="s">
        <v>1592</v>
      </c>
      <c r="N304" s="13" t="s">
        <v>1605</v>
      </c>
      <c r="O304" s="13" t="s">
        <v>1610</v>
      </c>
      <c r="P304" s="13" t="s">
        <v>1623</v>
      </c>
    </row>
    <row r="305" spans="1:16" ht="15" customHeight="1">
      <c r="A305" s="14">
        <v>304</v>
      </c>
      <c r="B305" s="14" t="s">
        <v>337</v>
      </c>
      <c r="C305" s="14" t="s">
        <v>1552</v>
      </c>
      <c r="D305" s="14" t="s">
        <v>1560</v>
      </c>
      <c r="E305" s="14" t="s">
        <v>1573</v>
      </c>
      <c r="F305" s="14" t="s">
        <v>1574</v>
      </c>
      <c r="G305" s="14" t="s">
        <v>1586</v>
      </c>
      <c r="H305" s="14" t="s">
        <v>1587</v>
      </c>
      <c r="I305" s="14" t="s">
        <v>1590</v>
      </c>
      <c r="J305" s="14" t="s">
        <v>1590</v>
      </c>
      <c r="K305" s="14" t="s">
        <v>1587</v>
      </c>
      <c r="L305" s="14" t="s">
        <v>1589</v>
      </c>
      <c r="M305" s="14" t="s">
        <v>1592</v>
      </c>
      <c r="N305" s="14" t="s">
        <v>1605</v>
      </c>
      <c r="O305" s="14" t="s">
        <v>1612</v>
      </c>
      <c r="P305" s="14" t="s">
        <v>1628</v>
      </c>
    </row>
    <row r="306" spans="1:16" ht="15" customHeight="1">
      <c r="A306" s="13">
        <v>305</v>
      </c>
      <c r="B306" s="13" t="s">
        <v>337</v>
      </c>
      <c r="C306" s="13" t="s">
        <v>1552</v>
      </c>
      <c r="D306" s="13" t="s">
        <v>1560</v>
      </c>
      <c r="E306" s="13" t="s">
        <v>1572</v>
      </c>
      <c r="F306" s="13" t="s">
        <v>1577</v>
      </c>
      <c r="G306" s="13" t="s">
        <v>1586</v>
      </c>
      <c r="H306" s="13" t="s">
        <v>1587</v>
      </c>
      <c r="I306" s="13" t="s">
        <v>1590</v>
      </c>
      <c r="J306" s="13" t="s">
        <v>1589</v>
      </c>
      <c r="K306" s="13" t="s">
        <v>1587</v>
      </c>
      <c r="L306" s="13" t="s">
        <v>1590</v>
      </c>
      <c r="M306" s="13" t="s">
        <v>1592</v>
      </c>
      <c r="N306" s="13" t="s">
        <v>1606</v>
      </c>
      <c r="O306" s="13" t="s">
        <v>1610</v>
      </c>
      <c r="P306" s="13" t="s">
        <v>1623</v>
      </c>
    </row>
    <row r="307" spans="1:16" ht="15" customHeight="1">
      <c r="A307" s="14">
        <v>306</v>
      </c>
      <c r="B307" s="14" t="s">
        <v>337</v>
      </c>
      <c r="C307" s="14" t="s">
        <v>1555</v>
      </c>
      <c r="D307" s="14" t="s">
        <v>1560</v>
      </c>
      <c r="E307" s="14" t="s">
        <v>1573</v>
      </c>
      <c r="F307" s="14" t="s">
        <v>1576</v>
      </c>
      <c r="G307" s="14" t="s">
        <v>1586</v>
      </c>
      <c r="H307" s="14" t="s">
        <v>1587</v>
      </c>
      <c r="I307" s="14" t="s">
        <v>1590</v>
      </c>
      <c r="J307" s="14" t="s">
        <v>1590</v>
      </c>
      <c r="K307" s="14" t="s">
        <v>1587</v>
      </c>
      <c r="L307" s="14" t="s">
        <v>1590</v>
      </c>
      <c r="M307" s="14" t="s">
        <v>1592</v>
      </c>
      <c r="N307" s="14" t="s">
        <v>1605</v>
      </c>
      <c r="O307" s="14" t="s">
        <v>1612</v>
      </c>
      <c r="P307" s="14" t="s">
        <v>1626</v>
      </c>
    </row>
    <row r="308" spans="1:16" ht="15" customHeight="1">
      <c r="A308" s="13">
        <v>307</v>
      </c>
      <c r="B308" s="13" t="s">
        <v>337</v>
      </c>
      <c r="C308" s="13" t="s">
        <v>1552</v>
      </c>
      <c r="D308" s="13" t="s">
        <v>1560</v>
      </c>
      <c r="E308" s="13" t="s">
        <v>1573</v>
      </c>
      <c r="F308" s="13" t="s">
        <v>1576</v>
      </c>
      <c r="G308" s="13" t="s">
        <v>1586</v>
      </c>
      <c r="H308" s="13" t="s">
        <v>1587</v>
      </c>
      <c r="I308" s="13" t="s">
        <v>1590</v>
      </c>
      <c r="J308" s="13" t="s">
        <v>1590</v>
      </c>
      <c r="K308" s="13" t="s">
        <v>1589</v>
      </c>
      <c r="L308" s="13" t="s">
        <v>1590</v>
      </c>
      <c r="M308" s="13" t="s">
        <v>1592</v>
      </c>
      <c r="N308" s="13" t="s">
        <v>1605</v>
      </c>
      <c r="O308" s="13" t="s">
        <v>1610</v>
      </c>
      <c r="P308" s="13" t="s">
        <v>1623</v>
      </c>
    </row>
    <row r="309" spans="1:16" ht="15" customHeight="1">
      <c r="A309" s="14">
        <v>308</v>
      </c>
      <c r="B309" s="14" t="s">
        <v>337</v>
      </c>
      <c r="C309" s="14" t="s">
        <v>1552</v>
      </c>
      <c r="D309" s="14" t="s">
        <v>1563</v>
      </c>
      <c r="E309" s="14" t="s">
        <v>1572</v>
      </c>
      <c r="F309" s="14" t="s">
        <v>1574</v>
      </c>
      <c r="G309" s="14" t="s">
        <v>1586</v>
      </c>
      <c r="H309" s="14" t="s">
        <v>1587</v>
      </c>
      <c r="I309" s="14" t="s">
        <v>1590</v>
      </c>
      <c r="J309" s="14" t="s">
        <v>1590</v>
      </c>
      <c r="K309" s="14" t="s">
        <v>1587</v>
      </c>
      <c r="L309" s="14" t="s">
        <v>1589</v>
      </c>
      <c r="M309" s="14" t="s">
        <v>1592</v>
      </c>
      <c r="N309" s="14" t="s">
        <v>1605</v>
      </c>
      <c r="O309" s="14" t="s">
        <v>1610</v>
      </c>
      <c r="P309" s="14" t="s">
        <v>1623</v>
      </c>
    </row>
    <row r="310" spans="1:16" ht="15" customHeight="1">
      <c r="A310" s="13">
        <v>309</v>
      </c>
      <c r="B310" s="13" t="s">
        <v>337</v>
      </c>
      <c r="C310" s="13" t="s">
        <v>1559</v>
      </c>
      <c r="D310" s="13" t="s">
        <v>1560</v>
      </c>
      <c r="E310" s="13" t="s">
        <v>1573</v>
      </c>
      <c r="F310" s="13" t="s">
        <v>1574</v>
      </c>
      <c r="G310" s="13" t="s">
        <v>1586</v>
      </c>
      <c r="H310" s="13" t="s">
        <v>1587</v>
      </c>
      <c r="I310" s="13" t="s">
        <v>1590</v>
      </c>
      <c r="J310" s="13" t="s">
        <v>1590</v>
      </c>
      <c r="K310" s="13" t="s">
        <v>1587</v>
      </c>
      <c r="L310" s="13" t="s">
        <v>1587</v>
      </c>
      <c r="M310" s="13" t="s">
        <v>1592</v>
      </c>
      <c r="N310" s="13" t="s">
        <v>1606</v>
      </c>
      <c r="O310" s="13" t="s">
        <v>1610</v>
      </c>
      <c r="P310" s="13" t="s">
        <v>1628</v>
      </c>
    </row>
    <row r="311" spans="1:16" ht="15" customHeight="1">
      <c r="A311" s="14">
        <v>310</v>
      </c>
      <c r="B311" s="14" t="s">
        <v>337</v>
      </c>
      <c r="C311" s="14" t="s">
        <v>1552</v>
      </c>
      <c r="D311" s="14" t="s">
        <v>1563</v>
      </c>
      <c r="E311" s="14" t="s">
        <v>1573</v>
      </c>
      <c r="F311" s="14" t="s">
        <v>1577</v>
      </c>
      <c r="G311" s="14" t="s">
        <v>1586</v>
      </c>
      <c r="H311" s="14" t="s">
        <v>1587</v>
      </c>
      <c r="I311" s="14" t="s">
        <v>1589</v>
      </c>
      <c r="J311" s="14" t="s">
        <v>1590</v>
      </c>
      <c r="K311" s="14" t="s">
        <v>1587</v>
      </c>
      <c r="L311" s="14" t="s">
        <v>1590</v>
      </c>
      <c r="M311" s="14" t="s">
        <v>1592</v>
      </c>
      <c r="N311" s="14" t="s">
        <v>1606</v>
      </c>
      <c r="O311" s="14" t="s">
        <v>1612</v>
      </c>
      <c r="P311" s="14" t="s">
        <v>1623</v>
      </c>
    </row>
    <row r="312" spans="1:16" ht="15" customHeight="1">
      <c r="A312" s="13">
        <v>311</v>
      </c>
      <c r="B312" s="13" t="s">
        <v>337</v>
      </c>
      <c r="C312" s="13" t="s">
        <v>1552</v>
      </c>
      <c r="D312" s="13" t="s">
        <v>1563</v>
      </c>
      <c r="E312" s="13" t="s">
        <v>1573</v>
      </c>
      <c r="F312" s="13" t="s">
        <v>1574</v>
      </c>
      <c r="G312" s="13" t="s">
        <v>1586</v>
      </c>
      <c r="H312" s="13" t="s">
        <v>1587</v>
      </c>
      <c r="I312" s="13" t="s">
        <v>1590</v>
      </c>
      <c r="J312" s="13" t="s">
        <v>1590</v>
      </c>
      <c r="K312" s="13" t="s">
        <v>1587</v>
      </c>
      <c r="L312" s="13" t="s">
        <v>1589</v>
      </c>
      <c r="M312" s="13" t="s">
        <v>1592</v>
      </c>
      <c r="N312" s="13" t="s">
        <v>1605</v>
      </c>
      <c r="O312" s="13" t="s">
        <v>1610</v>
      </c>
      <c r="P312" s="13" t="s">
        <v>1626</v>
      </c>
    </row>
    <row r="313" spans="1:16" ht="15" customHeight="1">
      <c r="A313" s="14">
        <v>312</v>
      </c>
      <c r="B313" s="14" t="s">
        <v>337</v>
      </c>
      <c r="C313" s="14" t="s">
        <v>1555</v>
      </c>
      <c r="D313" s="14" t="s">
        <v>1563</v>
      </c>
      <c r="E313" s="14" t="s">
        <v>1573</v>
      </c>
      <c r="F313" s="14" t="s">
        <v>1574</v>
      </c>
      <c r="G313" s="14" t="s">
        <v>1586</v>
      </c>
      <c r="H313" s="14" t="s">
        <v>1587</v>
      </c>
      <c r="I313" s="14" t="s">
        <v>1590</v>
      </c>
      <c r="J313" s="14" t="s">
        <v>1590</v>
      </c>
      <c r="K313" s="14" t="s">
        <v>1590</v>
      </c>
      <c r="L313" s="14" t="s">
        <v>1590</v>
      </c>
      <c r="M313" s="14" t="s">
        <v>1592</v>
      </c>
      <c r="N313" s="14" t="s">
        <v>1606</v>
      </c>
      <c r="O313" s="14" t="s">
        <v>1612</v>
      </c>
      <c r="P313" s="14" t="s">
        <v>1623</v>
      </c>
    </row>
    <row r="314" spans="1:16" ht="15" customHeight="1">
      <c r="A314" s="13">
        <v>313</v>
      </c>
      <c r="B314" s="13" t="s">
        <v>337</v>
      </c>
      <c r="C314" s="13" t="s">
        <v>1552</v>
      </c>
      <c r="D314" s="13" t="s">
        <v>1560</v>
      </c>
      <c r="E314" s="13" t="s">
        <v>1573</v>
      </c>
      <c r="F314" s="13" t="s">
        <v>1576</v>
      </c>
      <c r="G314" s="13" t="s">
        <v>1586</v>
      </c>
      <c r="H314" s="13" t="s">
        <v>1589</v>
      </c>
      <c r="I314" s="13" t="s">
        <v>1590</v>
      </c>
      <c r="J314" s="13" t="s">
        <v>1590</v>
      </c>
      <c r="K314" s="13" t="s">
        <v>1587</v>
      </c>
      <c r="L314" s="13" t="s">
        <v>1590</v>
      </c>
      <c r="M314" s="13" t="s">
        <v>1592</v>
      </c>
      <c r="N314" s="13" t="s">
        <v>1605</v>
      </c>
      <c r="O314" s="13" t="s">
        <v>1610</v>
      </c>
      <c r="P314" s="13" t="s">
        <v>1623</v>
      </c>
    </row>
    <row r="315" spans="1:16" ht="15" customHeight="1">
      <c r="A315" s="14">
        <v>314</v>
      </c>
      <c r="B315" s="14" t="s">
        <v>337</v>
      </c>
      <c r="C315" s="14" t="s">
        <v>1559</v>
      </c>
      <c r="D315" s="14" t="s">
        <v>1560</v>
      </c>
      <c r="E315" s="14" t="s">
        <v>1573</v>
      </c>
      <c r="F315" s="14" t="s">
        <v>1576</v>
      </c>
      <c r="G315" s="14" t="s">
        <v>1586</v>
      </c>
      <c r="H315" s="14" t="s">
        <v>1587</v>
      </c>
      <c r="I315" s="14" t="s">
        <v>1590</v>
      </c>
      <c r="J315" s="14" t="s">
        <v>1590</v>
      </c>
      <c r="K315" s="14" t="s">
        <v>1587</v>
      </c>
      <c r="L315" s="14" t="s">
        <v>1590</v>
      </c>
      <c r="M315" s="14" t="s">
        <v>1592</v>
      </c>
      <c r="N315" s="14" t="s">
        <v>1603</v>
      </c>
      <c r="O315" s="14" t="s">
        <v>1610</v>
      </c>
      <c r="P315" s="14" t="s">
        <v>1623</v>
      </c>
    </row>
    <row r="316" spans="1:16" ht="15" customHeight="1">
      <c r="A316" s="13">
        <v>315</v>
      </c>
      <c r="B316" s="13" t="s">
        <v>337</v>
      </c>
      <c r="C316" s="13" t="s">
        <v>1552</v>
      </c>
      <c r="D316" s="13" t="s">
        <v>1563</v>
      </c>
      <c r="E316" s="13" t="s">
        <v>1573</v>
      </c>
      <c r="F316" s="13" t="s">
        <v>1576</v>
      </c>
      <c r="G316" s="13" t="s">
        <v>1586</v>
      </c>
      <c r="H316" s="13" t="s">
        <v>1587</v>
      </c>
      <c r="I316" s="13" t="s">
        <v>1590</v>
      </c>
      <c r="J316" s="13" t="s">
        <v>1589</v>
      </c>
      <c r="K316" s="13" t="s">
        <v>1587</v>
      </c>
      <c r="L316" s="13" t="s">
        <v>1587</v>
      </c>
      <c r="M316" s="13" t="s">
        <v>1595</v>
      </c>
      <c r="N316" s="13" t="s">
        <v>1606</v>
      </c>
      <c r="O316" s="13" t="s">
        <v>1610</v>
      </c>
      <c r="P316" s="13" t="s">
        <v>1623</v>
      </c>
    </row>
    <row r="317" spans="1:16" ht="15" customHeight="1">
      <c r="A317" s="14">
        <v>316</v>
      </c>
      <c r="B317" s="14" t="s">
        <v>337</v>
      </c>
      <c r="C317" s="14" t="s">
        <v>1552</v>
      </c>
      <c r="D317" s="14" t="s">
        <v>1560</v>
      </c>
      <c r="E317" s="14" t="s">
        <v>1572</v>
      </c>
      <c r="F317" s="14" t="s">
        <v>1574</v>
      </c>
      <c r="G317" s="14" t="s">
        <v>1585</v>
      </c>
      <c r="H317" s="14" t="s">
        <v>1587</v>
      </c>
      <c r="I317" s="14" t="s">
        <v>1590</v>
      </c>
      <c r="J317" s="14" t="s">
        <v>1590</v>
      </c>
      <c r="K317" s="14" t="s">
        <v>1587</v>
      </c>
      <c r="L317" s="14" t="s">
        <v>1587</v>
      </c>
      <c r="M317" s="14" t="s">
        <v>1592</v>
      </c>
      <c r="N317" s="14" t="s">
        <v>1605</v>
      </c>
      <c r="O317" s="14" t="s">
        <v>1610</v>
      </c>
      <c r="P317" s="14" t="s">
        <v>1623</v>
      </c>
    </row>
    <row r="318" spans="1:16" ht="15" customHeight="1">
      <c r="A318" s="13">
        <v>317</v>
      </c>
      <c r="B318" s="13" t="s">
        <v>337</v>
      </c>
      <c r="C318" s="13" t="s">
        <v>1552</v>
      </c>
      <c r="D318" s="13" t="s">
        <v>1560</v>
      </c>
      <c r="E318" s="13" t="s">
        <v>1573</v>
      </c>
      <c r="F318" s="13" t="s">
        <v>1574</v>
      </c>
      <c r="G318" s="13" t="s">
        <v>1586</v>
      </c>
      <c r="H318" s="13" t="s">
        <v>1587</v>
      </c>
      <c r="I318" s="13" t="s">
        <v>1590</v>
      </c>
      <c r="J318" s="13" t="s">
        <v>1590</v>
      </c>
      <c r="K318" s="13" t="s">
        <v>1587</v>
      </c>
      <c r="L318" s="13" t="s">
        <v>1587</v>
      </c>
      <c r="M318" s="13" t="s">
        <v>1592</v>
      </c>
      <c r="N318" s="13" t="s">
        <v>1606</v>
      </c>
      <c r="O318" s="13" t="s">
        <v>1610</v>
      </c>
      <c r="P318" s="13" t="s">
        <v>1628</v>
      </c>
    </row>
    <row r="319" spans="1:16" ht="15" customHeight="1">
      <c r="A319" s="14">
        <v>318</v>
      </c>
      <c r="B319" s="14" t="s">
        <v>337</v>
      </c>
      <c r="C319" s="14" t="s">
        <v>1552</v>
      </c>
      <c r="D319" s="14" t="s">
        <v>1560</v>
      </c>
      <c r="E319" s="14" t="s">
        <v>1573</v>
      </c>
      <c r="F319" s="14" t="s">
        <v>1574</v>
      </c>
      <c r="G319" s="14" t="s">
        <v>1586</v>
      </c>
      <c r="H319" s="14" t="s">
        <v>1587</v>
      </c>
      <c r="I319" s="14" t="s">
        <v>1589</v>
      </c>
      <c r="J319" s="14" t="s">
        <v>1590</v>
      </c>
      <c r="K319" s="14" t="s">
        <v>1589</v>
      </c>
      <c r="L319" s="14" t="s">
        <v>1590</v>
      </c>
      <c r="M319" s="14" t="s">
        <v>1597</v>
      </c>
      <c r="N319" s="14" t="s">
        <v>1605</v>
      </c>
      <c r="O319" s="14" t="s">
        <v>1610</v>
      </c>
      <c r="P319" s="14" t="s">
        <v>1623</v>
      </c>
    </row>
    <row r="320" spans="1:16" ht="15" customHeight="1">
      <c r="A320" s="13">
        <v>319</v>
      </c>
      <c r="B320" s="13" t="s">
        <v>337</v>
      </c>
      <c r="C320" s="13" t="s">
        <v>1552</v>
      </c>
      <c r="D320" s="13" t="s">
        <v>1563</v>
      </c>
      <c r="E320" s="13" t="s">
        <v>1573</v>
      </c>
      <c r="F320" s="13" t="s">
        <v>1574</v>
      </c>
      <c r="G320" s="13" t="s">
        <v>1585</v>
      </c>
      <c r="H320" s="13" t="s">
        <v>1587</v>
      </c>
      <c r="I320" s="13" t="s">
        <v>1590</v>
      </c>
      <c r="J320" s="13" t="s">
        <v>1590</v>
      </c>
      <c r="K320" s="13" t="s">
        <v>1587</v>
      </c>
      <c r="L320" s="13" t="s">
        <v>1589</v>
      </c>
      <c r="M320" s="13" t="s">
        <v>1592</v>
      </c>
      <c r="N320" s="13" t="s">
        <v>1605</v>
      </c>
      <c r="O320" s="13" t="s">
        <v>1610</v>
      </c>
      <c r="P320" s="13" t="s">
        <v>1623</v>
      </c>
    </row>
    <row r="321" spans="1:16" ht="15" customHeight="1">
      <c r="A321" s="14">
        <v>320</v>
      </c>
      <c r="B321" s="14" t="s">
        <v>337</v>
      </c>
      <c r="C321" s="14" t="s">
        <v>1552</v>
      </c>
      <c r="D321" s="14" t="s">
        <v>1560</v>
      </c>
      <c r="E321" s="14" t="s">
        <v>1571</v>
      </c>
      <c r="F321" s="14" t="s">
        <v>1577</v>
      </c>
      <c r="G321" s="14" t="s">
        <v>1586</v>
      </c>
      <c r="H321" s="14" t="s">
        <v>1587</v>
      </c>
      <c r="I321" s="14" t="s">
        <v>1590</v>
      </c>
      <c r="J321" s="14" t="s">
        <v>1590</v>
      </c>
      <c r="K321" s="14" t="s">
        <v>1587</v>
      </c>
      <c r="L321" s="14" t="s">
        <v>1590</v>
      </c>
      <c r="M321" s="14" t="s">
        <v>1592</v>
      </c>
      <c r="N321" s="14" t="s">
        <v>1605</v>
      </c>
      <c r="O321" s="14" t="s">
        <v>1612</v>
      </c>
      <c r="P321" s="14" t="s">
        <v>1623</v>
      </c>
    </row>
    <row r="322" spans="1:16" ht="15" customHeight="1">
      <c r="A322" s="13">
        <v>321</v>
      </c>
      <c r="B322" s="13" t="s">
        <v>337</v>
      </c>
      <c r="C322" s="13" t="s">
        <v>1552</v>
      </c>
      <c r="D322" s="13" t="s">
        <v>1563</v>
      </c>
      <c r="E322" s="13" t="s">
        <v>1573</v>
      </c>
      <c r="F322" s="13" t="s">
        <v>1576</v>
      </c>
      <c r="G322" s="13" t="s">
        <v>1585</v>
      </c>
      <c r="H322" s="13" t="s">
        <v>1587</v>
      </c>
      <c r="I322" s="13" t="s">
        <v>1589</v>
      </c>
      <c r="J322" s="13" t="s">
        <v>1590</v>
      </c>
      <c r="K322" s="13" t="s">
        <v>1587</v>
      </c>
      <c r="L322" s="13" t="s">
        <v>1590</v>
      </c>
      <c r="M322" s="13" t="s">
        <v>1592</v>
      </c>
      <c r="N322" s="13" t="s">
        <v>1605</v>
      </c>
      <c r="O322" s="13" t="s">
        <v>1610</v>
      </c>
      <c r="P322" s="13" t="s">
        <v>1623</v>
      </c>
    </row>
    <row r="323" spans="1:16" ht="15" customHeight="1">
      <c r="A323" s="14">
        <v>322</v>
      </c>
      <c r="B323" s="14" t="s">
        <v>337</v>
      </c>
      <c r="C323" s="14" t="s">
        <v>1552</v>
      </c>
      <c r="D323" s="14" t="s">
        <v>1560</v>
      </c>
      <c r="E323" s="14" t="s">
        <v>1573</v>
      </c>
      <c r="F323" s="14" t="s">
        <v>1576</v>
      </c>
      <c r="G323" s="14" t="s">
        <v>1585</v>
      </c>
      <c r="H323" s="14" t="s">
        <v>1587</v>
      </c>
      <c r="I323" s="14" t="s">
        <v>1590</v>
      </c>
      <c r="J323" s="14" t="s">
        <v>1590</v>
      </c>
      <c r="K323" s="14" t="s">
        <v>1590</v>
      </c>
      <c r="L323" s="14" t="s">
        <v>1589</v>
      </c>
      <c r="M323" s="14" t="s">
        <v>1592</v>
      </c>
      <c r="N323" s="14" t="s">
        <v>1605</v>
      </c>
      <c r="O323" s="14" t="s">
        <v>1610</v>
      </c>
      <c r="P323" s="14" t="s">
        <v>1626</v>
      </c>
    </row>
    <row r="324" spans="1:16" ht="15" customHeight="1">
      <c r="A324" s="13">
        <v>323</v>
      </c>
      <c r="B324" s="13" t="s">
        <v>337</v>
      </c>
      <c r="C324" s="13" t="s">
        <v>1552</v>
      </c>
      <c r="D324" s="13" t="s">
        <v>1563</v>
      </c>
      <c r="E324" s="13" t="s">
        <v>1572</v>
      </c>
      <c r="F324" s="13" t="s">
        <v>1574</v>
      </c>
      <c r="G324" s="13" t="s">
        <v>1586</v>
      </c>
      <c r="H324" s="13" t="s">
        <v>1587</v>
      </c>
      <c r="I324" s="13" t="s">
        <v>1590</v>
      </c>
      <c r="J324" s="13" t="s">
        <v>1590</v>
      </c>
      <c r="K324" s="13" t="s">
        <v>1587</v>
      </c>
      <c r="L324" s="13" t="s">
        <v>1590</v>
      </c>
      <c r="M324" s="13" t="s">
        <v>1592</v>
      </c>
      <c r="N324" s="13" t="s">
        <v>1605</v>
      </c>
      <c r="O324" s="13" t="s">
        <v>1610</v>
      </c>
      <c r="P324" s="13" t="s">
        <v>1626</v>
      </c>
    </row>
    <row r="325" spans="1:16" ht="15" customHeight="1">
      <c r="A325" s="14">
        <v>324</v>
      </c>
      <c r="B325" s="14" t="s">
        <v>337</v>
      </c>
      <c r="C325" s="14" t="s">
        <v>1552</v>
      </c>
      <c r="D325" s="14" t="s">
        <v>1563</v>
      </c>
      <c r="E325" s="14" t="s">
        <v>1573</v>
      </c>
      <c r="F325" s="14" t="s">
        <v>1574</v>
      </c>
      <c r="G325" s="14" t="s">
        <v>1586</v>
      </c>
      <c r="H325" s="14" t="s">
        <v>1587</v>
      </c>
      <c r="I325" s="14" t="s">
        <v>1590</v>
      </c>
      <c r="J325" s="14" t="s">
        <v>1590</v>
      </c>
      <c r="K325" s="14" t="s">
        <v>1587</v>
      </c>
      <c r="L325" s="14" t="s">
        <v>1590</v>
      </c>
      <c r="M325" s="14" t="s">
        <v>1592</v>
      </c>
      <c r="N325" s="14" t="s">
        <v>1605</v>
      </c>
      <c r="O325" s="14" t="s">
        <v>1610</v>
      </c>
      <c r="P325" s="14" t="s">
        <v>1623</v>
      </c>
    </row>
    <row r="326" spans="1:16" ht="15" customHeight="1">
      <c r="A326" s="13">
        <v>325</v>
      </c>
      <c r="B326" s="13" t="s">
        <v>337</v>
      </c>
      <c r="C326" s="13" t="s">
        <v>1552</v>
      </c>
      <c r="D326" s="13" t="s">
        <v>1560</v>
      </c>
      <c r="E326" s="13" t="s">
        <v>1573</v>
      </c>
      <c r="F326" s="13" t="s">
        <v>1574</v>
      </c>
      <c r="G326" s="13" t="s">
        <v>1586</v>
      </c>
      <c r="H326" s="13" t="s">
        <v>1587</v>
      </c>
      <c r="I326" s="13" t="s">
        <v>1590</v>
      </c>
      <c r="J326" s="13" t="s">
        <v>1590</v>
      </c>
      <c r="K326" s="13" t="s">
        <v>1589</v>
      </c>
      <c r="L326" s="13" t="s">
        <v>1589</v>
      </c>
      <c r="M326" s="13" t="s">
        <v>1592</v>
      </c>
      <c r="N326" s="13" t="s">
        <v>1605</v>
      </c>
      <c r="O326" s="13" t="s">
        <v>1610</v>
      </c>
      <c r="P326" s="13" t="s">
        <v>1626</v>
      </c>
    </row>
    <row r="327" spans="1:16" ht="15" customHeight="1">
      <c r="A327" s="14">
        <v>326</v>
      </c>
      <c r="B327" s="14" t="s">
        <v>337</v>
      </c>
      <c r="C327" s="14" t="s">
        <v>1552</v>
      </c>
      <c r="D327" s="14" t="s">
        <v>1560</v>
      </c>
      <c r="E327" s="14" t="s">
        <v>1572</v>
      </c>
      <c r="F327" s="14" t="s">
        <v>1574</v>
      </c>
      <c r="G327" s="14" t="s">
        <v>1586</v>
      </c>
      <c r="H327" s="14" t="s">
        <v>1587</v>
      </c>
      <c r="I327" s="14" t="s">
        <v>1590</v>
      </c>
      <c r="J327" s="14" t="s">
        <v>1590</v>
      </c>
      <c r="K327" s="14" t="s">
        <v>1590</v>
      </c>
      <c r="L327" s="14" t="s">
        <v>1590</v>
      </c>
      <c r="M327" s="14" t="s">
        <v>1592</v>
      </c>
      <c r="N327" s="14" t="s">
        <v>1605</v>
      </c>
      <c r="O327" s="14" t="s">
        <v>1610</v>
      </c>
      <c r="P327" s="14" t="s">
        <v>1623</v>
      </c>
    </row>
    <row r="328" spans="1:16" ht="15" customHeight="1">
      <c r="A328" s="13">
        <v>327</v>
      </c>
      <c r="B328" s="13" t="s">
        <v>337</v>
      </c>
      <c r="C328" s="13" t="s">
        <v>1552</v>
      </c>
      <c r="D328" s="13" t="s">
        <v>1560</v>
      </c>
      <c r="E328" s="13" t="s">
        <v>1573</v>
      </c>
      <c r="F328" s="13" t="s">
        <v>1574</v>
      </c>
      <c r="G328" s="13" t="s">
        <v>1586</v>
      </c>
      <c r="H328" s="13" t="s">
        <v>1587</v>
      </c>
      <c r="I328" s="13" t="s">
        <v>1589</v>
      </c>
      <c r="J328" s="13" t="s">
        <v>1590</v>
      </c>
      <c r="K328" s="13" t="s">
        <v>1587</v>
      </c>
      <c r="L328" s="13" t="s">
        <v>1587</v>
      </c>
      <c r="M328" s="13" t="s">
        <v>1592</v>
      </c>
      <c r="N328" s="13" t="s">
        <v>1605</v>
      </c>
      <c r="O328" s="13" t="s">
        <v>1610</v>
      </c>
      <c r="P328" s="13" t="s">
        <v>1626</v>
      </c>
    </row>
    <row r="329" spans="1:16" ht="15" customHeight="1">
      <c r="A329" s="14">
        <v>328</v>
      </c>
      <c r="B329" s="14" t="s">
        <v>337</v>
      </c>
      <c r="C329" s="14" t="s">
        <v>1552</v>
      </c>
      <c r="D329" s="14" t="s">
        <v>1560</v>
      </c>
      <c r="E329" s="14" t="s">
        <v>1573</v>
      </c>
      <c r="F329" s="14" t="s">
        <v>1577</v>
      </c>
      <c r="G329" s="14" t="s">
        <v>1586</v>
      </c>
      <c r="H329" s="14" t="s">
        <v>1587</v>
      </c>
      <c r="I329" s="14" t="s">
        <v>1589</v>
      </c>
      <c r="J329" s="14" t="s">
        <v>1590</v>
      </c>
      <c r="K329" s="14" t="s">
        <v>1587</v>
      </c>
      <c r="L329" s="14" t="s">
        <v>1590</v>
      </c>
      <c r="M329" s="14" t="s">
        <v>1592</v>
      </c>
      <c r="N329" s="14" t="s">
        <v>1605</v>
      </c>
      <c r="O329" s="14" t="s">
        <v>1610</v>
      </c>
      <c r="P329" s="14" t="s">
        <v>1623</v>
      </c>
    </row>
    <row r="330" spans="1:16" ht="15" customHeight="1">
      <c r="A330" s="13">
        <v>329</v>
      </c>
      <c r="B330" s="13" t="s">
        <v>337</v>
      </c>
      <c r="C330" s="13" t="s">
        <v>1552</v>
      </c>
      <c r="D330" s="13" t="s">
        <v>1560</v>
      </c>
      <c r="E330" s="13" t="s">
        <v>1573</v>
      </c>
      <c r="F330" s="13" t="s">
        <v>1574</v>
      </c>
      <c r="G330" s="13" t="s">
        <v>1585</v>
      </c>
      <c r="H330" s="13" t="s">
        <v>1587</v>
      </c>
      <c r="I330" s="13" t="s">
        <v>1590</v>
      </c>
      <c r="J330" s="13" t="s">
        <v>1590</v>
      </c>
      <c r="K330" s="13" t="s">
        <v>1589</v>
      </c>
      <c r="L330" s="13" t="s">
        <v>1590</v>
      </c>
      <c r="M330" s="13" t="s">
        <v>1592</v>
      </c>
      <c r="N330" s="13" t="s">
        <v>1605</v>
      </c>
      <c r="O330" s="13" t="s">
        <v>1610</v>
      </c>
      <c r="P330" s="13" t="s">
        <v>1623</v>
      </c>
    </row>
    <row r="331" spans="1:16" ht="15" customHeight="1">
      <c r="A331" s="14">
        <v>330</v>
      </c>
      <c r="B331" s="14" t="s">
        <v>337</v>
      </c>
      <c r="C331" s="14" t="s">
        <v>1552</v>
      </c>
      <c r="D331" s="14" t="s">
        <v>1560</v>
      </c>
      <c r="E331" s="14" t="s">
        <v>1572</v>
      </c>
      <c r="F331" s="14" t="s">
        <v>1574</v>
      </c>
      <c r="G331" s="14" t="s">
        <v>1586</v>
      </c>
      <c r="H331" s="14" t="s">
        <v>1587</v>
      </c>
      <c r="I331" s="14" t="s">
        <v>1590</v>
      </c>
      <c r="J331" s="14" t="s">
        <v>1590</v>
      </c>
      <c r="K331" s="14" t="s">
        <v>1587</v>
      </c>
      <c r="L331" s="14" t="s">
        <v>1590</v>
      </c>
      <c r="M331" s="14" t="s">
        <v>1592</v>
      </c>
      <c r="N331" s="14" t="s">
        <v>1605</v>
      </c>
      <c r="O331" s="14" t="s">
        <v>1610</v>
      </c>
      <c r="P331" s="14" t="s">
        <v>1628</v>
      </c>
    </row>
    <row r="332" spans="1:16" ht="15" customHeight="1">
      <c r="A332" s="13">
        <v>331</v>
      </c>
      <c r="B332" s="13" t="s">
        <v>337</v>
      </c>
      <c r="C332" s="13" t="s">
        <v>1552</v>
      </c>
      <c r="D332" s="13" t="s">
        <v>1560</v>
      </c>
      <c r="E332" s="13" t="s">
        <v>1573</v>
      </c>
      <c r="F332" s="13" t="s">
        <v>1574</v>
      </c>
      <c r="G332" s="13" t="s">
        <v>1586</v>
      </c>
      <c r="H332" s="13" t="s">
        <v>1587</v>
      </c>
      <c r="I332" s="13" t="s">
        <v>1590</v>
      </c>
      <c r="J332" s="13" t="s">
        <v>1590</v>
      </c>
      <c r="K332" s="13" t="s">
        <v>1587</v>
      </c>
      <c r="L332" s="13" t="s">
        <v>1590</v>
      </c>
      <c r="M332" s="13" t="s">
        <v>1592</v>
      </c>
      <c r="N332" s="13" t="s">
        <v>1605</v>
      </c>
      <c r="O332" s="13" t="s">
        <v>1610</v>
      </c>
      <c r="P332" s="13" t="s">
        <v>1623</v>
      </c>
    </row>
    <row r="333" spans="1:16" ht="15" customHeight="1">
      <c r="A333" s="14">
        <v>332</v>
      </c>
      <c r="B333" s="14" t="s">
        <v>337</v>
      </c>
      <c r="C333" s="14" t="s">
        <v>1559</v>
      </c>
      <c r="D333" s="14" t="s">
        <v>1563</v>
      </c>
      <c r="E333" s="14" t="s">
        <v>1573</v>
      </c>
      <c r="F333" s="14" t="s">
        <v>1574</v>
      </c>
      <c r="G333" s="14" t="s">
        <v>1586</v>
      </c>
      <c r="H333" s="14" t="s">
        <v>1587</v>
      </c>
      <c r="I333" s="14" t="s">
        <v>1589</v>
      </c>
      <c r="J333" s="14" t="s">
        <v>1590</v>
      </c>
      <c r="K333" s="14" t="s">
        <v>1587</v>
      </c>
      <c r="L333" s="14" t="s">
        <v>1590</v>
      </c>
      <c r="M333" s="14" t="s">
        <v>1592</v>
      </c>
      <c r="N333" s="14" t="s">
        <v>1605</v>
      </c>
      <c r="O333" s="14" t="s">
        <v>1613</v>
      </c>
      <c r="P333" s="14" t="s">
        <v>1627</v>
      </c>
    </row>
    <row r="334" spans="1:16" ht="15" customHeight="1">
      <c r="A334" s="13">
        <v>333</v>
      </c>
      <c r="B334" s="13" t="s">
        <v>337</v>
      </c>
      <c r="C334" s="13" t="s">
        <v>1559</v>
      </c>
      <c r="D334" s="13" t="s">
        <v>1560</v>
      </c>
      <c r="E334" s="13" t="s">
        <v>1573</v>
      </c>
      <c r="F334" s="13" t="s">
        <v>1576</v>
      </c>
      <c r="G334" s="13" t="s">
        <v>1586</v>
      </c>
      <c r="H334" s="13" t="s">
        <v>1587</v>
      </c>
      <c r="I334" s="13" t="s">
        <v>1589</v>
      </c>
      <c r="J334" s="13" t="s">
        <v>1590</v>
      </c>
      <c r="K334" s="13" t="s">
        <v>1589</v>
      </c>
      <c r="L334" s="13" t="s">
        <v>1590</v>
      </c>
      <c r="M334" s="13" t="s">
        <v>1592</v>
      </c>
      <c r="N334" s="13" t="s">
        <v>1605</v>
      </c>
      <c r="O334" s="13" t="s">
        <v>1610</v>
      </c>
      <c r="P334" s="13" t="s">
        <v>1626</v>
      </c>
    </row>
    <row r="335" spans="1:16" ht="15" customHeight="1">
      <c r="A335" s="14">
        <v>334</v>
      </c>
      <c r="B335" s="14" t="s">
        <v>337</v>
      </c>
      <c r="C335" s="14" t="s">
        <v>1552</v>
      </c>
      <c r="D335" s="14" t="s">
        <v>1560</v>
      </c>
      <c r="E335" s="14" t="s">
        <v>1573</v>
      </c>
      <c r="F335" s="14" t="s">
        <v>1576</v>
      </c>
      <c r="G335" s="14" t="s">
        <v>1586</v>
      </c>
      <c r="H335" s="14" t="s">
        <v>1587</v>
      </c>
      <c r="I335" s="14" t="s">
        <v>1590</v>
      </c>
      <c r="J335" s="14" t="s">
        <v>1590</v>
      </c>
      <c r="K335" s="14" t="s">
        <v>1587</v>
      </c>
      <c r="L335" s="14" t="s">
        <v>1590</v>
      </c>
      <c r="M335" s="14" t="s">
        <v>1595</v>
      </c>
      <c r="N335" s="14" t="s">
        <v>1605</v>
      </c>
      <c r="O335" s="14" t="s">
        <v>1610</v>
      </c>
      <c r="P335" s="14" t="s">
        <v>1623</v>
      </c>
    </row>
    <row r="336" spans="1:16" ht="15" customHeight="1">
      <c r="A336" s="13">
        <v>335</v>
      </c>
      <c r="B336" s="13" t="s">
        <v>337</v>
      </c>
      <c r="C336" s="13" t="s">
        <v>1552</v>
      </c>
      <c r="D336" s="13" t="s">
        <v>1560</v>
      </c>
      <c r="E336" s="13" t="s">
        <v>1572</v>
      </c>
      <c r="F336" s="13" t="s">
        <v>1577</v>
      </c>
      <c r="G336" s="13" t="s">
        <v>1586</v>
      </c>
      <c r="H336" s="13" t="s">
        <v>1587</v>
      </c>
      <c r="I336" s="13" t="s">
        <v>1589</v>
      </c>
      <c r="J336" s="13" t="s">
        <v>1590</v>
      </c>
      <c r="K336" s="13" t="s">
        <v>1590</v>
      </c>
      <c r="L336" s="13" t="s">
        <v>1590</v>
      </c>
      <c r="M336" s="13" t="s">
        <v>1592</v>
      </c>
      <c r="N336" s="13" t="s">
        <v>1605</v>
      </c>
      <c r="O336" s="13" t="s">
        <v>1612</v>
      </c>
      <c r="P336" s="13" t="s">
        <v>1626</v>
      </c>
    </row>
    <row r="337" spans="1:16" ht="15" customHeight="1">
      <c r="A337" s="14">
        <v>336</v>
      </c>
      <c r="B337" s="14" t="s">
        <v>337</v>
      </c>
      <c r="C337" s="14" t="s">
        <v>1552</v>
      </c>
      <c r="D337" s="14" t="s">
        <v>1560</v>
      </c>
      <c r="E337" s="14" t="s">
        <v>1573</v>
      </c>
      <c r="F337" s="14" t="s">
        <v>1574</v>
      </c>
      <c r="G337" s="14" t="s">
        <v>1586</v>
      </c>
      <c r="H337" s="14" t="s">
        <v>1587</v>
      </c>
      <c r="I337" s="14" t="s">
        <v>1589</v>
      </c>
      <c r="J337" s="14" t="s">
        <v>1590</v>
      </c>
      <c r="K337" s="14" t="s">
        <v>1587</v>
      </c>
      <c r="L337" s="14" t="s">
        <v>1590</v>
      </c>
      <c r="M337" s="14" t="s">
        <v>1592</v>
      </c>
      <c r="N337" s="14" t="s">
        <v>1605</v>
      </c>
      <c r="O337" s="14" t="s">
        <v>1610</v>
      </c>
      <c r="P337" s="14" t="s">
        <v>1626</v>
      </c>
    </row>
    <row r="338" spans="1:16" ht="15" customHeight="1">
      <c r="A338" s="13">
        <v>337</v>
      </c>
      <c r="B338" s="13" t="s">
        <v>337</v>
      </c>
      <c r="C338" s="13" t="s">
        <v>1552</v>
      </c>
      <c r="D338" s="13" t="s">
        <v>1560</v>
      </c>
      <c r="E338" s="13" t="s">
        <v>1573</v>
      </c>
      <c r="F338" s="13" t="s">
        <v>1577</v>
      </c>
      <c r="G338" s="13" t="s">
        <v>1586</v>
      </c>
      <c r="H338" s="13" t="s">
        <v>1589</v>
      </c>
      <c r="I338" s="13" t="s">
        <v>1589</v>
      </c>
      <c r="J338" s="13" t="s">
        <v>1590</v>
      </c>
      <c r="K338" s="13" t="s">
        <v>1589</v>
      </c>
      <c r="L338" s="13" t="s">
        <v>1590</v>
      </c>
      <c r="M338" s="13" t="s">
        <v>1592</v>
      </c>
      <c r="N338" s="13" t="s">
        <v>1605</v>
      </c>
      <c r="O338" s="13" t="s">
        <v>1612</v>
      </c>
      <c r="P338" s="13" t="s">
        <v>1623</v>
      </c>
    </row>
  </sheetData>
  <autoFilter ref="A1:P3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Z1000"/>
  <sheetViews>
    <sheetView workbookViewId="0">
      <selection activeCell="C24" sqref="C24"/>
    </sheetView>
  </sheetViews>
  <sheetFormatPr defaultColWidth="14.44140625" defaultRowHeight="15" customHeight="1"/>
  <cols>
    <col min="1" max="2" width="8.6640625" style="2" customWidth="1"/>
    <col min="3" max="3" width="124" style="2" customWidth="1"/>
    <col min="4" max="26" width="8.6640625" style="2" customWidth="1"/>
  </cols>
  <sheetData>
    <row r="1" spans="1:4" ht="14.4">
      <c r="A1" s="1" t="s">
        <v>1630</v>
      </c>
    </row>
    <row r="2" spans="1:4" ht="14.4">
      <c r="A2" s="1" t="s">
        <v>1631</v>
      </c>
      <c r="B2" s="1" t="s">
        <v>1632</v>
      </c>
      <c r="C2" s="1" t="s">
        <v>1633</v>
      </c>
      <c r="D2" s="1" t="s">
        <v>1634</v>
      </c>
    </row>
    <row r="3" spans="1:4" ht="14.4">
      <c r="A3" s="1" t="s">
        <v>1635</v>
      </c>
      <c r="B3" s="1" t="s">
        <v>1636</v>
      </c>
      <c r="C3" s="1" t="s">
        <v>1637</v>
      </c>
      <c r="D3" s="1" t="s">
        <v>1638</v>
      </c>
    </row>
    <row r="4" spans="1:4" ht="14.4">
      <c r="A4" s="1" t="s">
        <v>1635</v>
      </c>
      <c r="B4" s="1" t="s">
        <v>1639</v>
      </c>
      <c r="C4" s="1" t="s">
        <v>1640</v>
      </c>
    </row>
    <row r="5" spans="1:4" ht="14.4">
      <c r="A5" s="1" t="s">
        <v>1635</v>
      </c>
      <c r="B5" s="1" t="s">
        <v>1641</v>
      </c>
      <c r="C5" s="1" t="s">
        <v>1642</v>
      </c>
    </row>
    <row r="6" spans="1:4" ht="14.4">
      <c r="A6" s="1" t="s">
        <v>1643</v>
      </c>
      <c r="B6" s="1" t="s">
        <v>1636</v>
      </c>
      <c r="C6" s="1" t="s">
        <v>1644</v>
      </c>
    </row>
    <row r="7" spans="1:4" ht="14.4">
      <c r="A7" s="1" t="s">
        <v>1643</v>
      </c>
      <c r="B7" s="1" t="s">
        <v>1639</v>
      </c>
      <c r="C7" s="1" t="s">
        <v>1645</v>
      </c>
    </row>
    <row r="8" spans="1:4" ht="14.4">
      <c r="A8" s="1" t="s">
        <v>1643</v>
      </c>
      <c r="B8" s="1" t="s">
        <v>1641</v>
      </c>
      <c r="C8" s="1" t="s">
        <v>1646</v>
      </c>
    </row>
    <row r="9" spans="1:4" ht="14.4">
      <c r="A9" s="1" t="s">
        <v>1643</v>
      </c>
      <c r="B9" s="1" t="s">
        <v>1647</v>
      </c>
      <c r="C9" s="1" t="s">
        <v>1648</v>
      </c>
    </row>
    <row r="10" spans="1:4" ht="14.4">
      <c r="A10" s="1" t="s">
        <v>1649</v>
      </c>
      <c r="B10" s="1" t="s">
        <v>1636</v>
      </c>
      <c r="C10" s="1" t="s">
        <v>1650</v>
      </c>
    </row>
    <row r="11" spans="1:4" ht="14.4">
      <c r="A11" s="1" t="s">
        <v>1649</v>
      </c>
      <c r="B11" s="1" t="s">
        <v>1639</v>
      </c>
      <c r="C11" s="1" t="s">
        <v>1651</v>
      </c>
    </row>
    <row r="12" spans="1:4" ht="14.4">
      <c r="A12" s="1" t="s">
        <v>1649</v>
      </c>
      <c r="B12" s="1" t="s">
        <v>1641</v>
      </c>
      <c r="C12" s="1" t="s">
        <v>1652</v>
      </c>
    </row>
    <row r="13" spans="1:4" ht="14.4">
      <c r="A13" s="1" t="s">
        <v>1649</v>
      </c>
      <c r="B13" s="1" t="s">
        <v>1647</v>
      </c>
      <c r="C13" s="1" t="s">
        <v>1653</v>
      </c>
    </row>
    <row r="14" spans="1:4" ht="14.4">
      <c r="A14" s="1" t="s">
        <v>1649</v>
      </c>
      <c r="B14" s="1" t="s">
        <v>1654</v>
      </c>
      <c r="C14" s="1" t="s">
        <v>1655</v>
      </c>
    </row>
    <row r="15" spans="1:4" ht="14.4">
      <c r="A15" s="1" t="s">
        <v>1656</v>
      </c>
      <c r="B15" s="1" t="s">
        <v>1657</v>
      </c>
      <c r="C15" s="1" t="s">
        <v>1658</v>
      </c>
    </row>
    <row r="16" spans="1:4" ht="14.4">
      <c r="A16" s="1" t="s">
        <v>1656</v>
      </c>
      <c r="B16" s="1" t="s">
        <v>1659</v>
      </c>
      <c r="C16" s="1" t="s">
        <v>1660</v>
      </c>
    </row>
    <row r="17" spans="1:3" ht="14.4">
      <c r="A17" s="1" t="s">
        <v>1656</v>
      </c>
      <c r="B17" s="1" t="s">
        <v>1636</v>
      </c>
      <c r="C17" s="1" t="s">
        <v>1661</v>
      </c>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Z1000"/>
  <sheetViews>
    <sheetView workbookViewId="0">
      <selection activeCell="D16" sqref="D16"/>
    </sheetView>
  </sheetViews>
  <sheetFormatPr defaultColWidth="14.44140625" defaultRowHeight="15" customHeight="1"/>
  <cols>
    <col min="1" max="2" width="8.6640625" style="2" customWidth="1"/>
    <col min="3" max="3" width="9.21875" style="2" bestFit="1" customWidth="1"/>
    <col min="4" max="4" width="14" style="2" bestFit="1" customWidth="1"/>
    <col min="5" max="5" width="9" style="2" bestFit="1" customWidth="1"/>
    <col min="6" max="6" width="6.88671875" style="2" bestFit="1" customWidth="1"/>
    <col min="7" max="7" width="12.77734375" style="2" bestFit="1" customWidth="1"/>
    <col min="8" max="14" width="8.6640625" style="2" customWidth="1"/>
    <col min="15" max="15" width="62.44140625" style="2" customWidth="1"/>
    <col min="16" max="18" width="8.6640625" style="2" customWidth="1"/>
    <col min="19" max="19" width="32.5546875" style="2" customWidth="1"/>
    <col min="20" max="20" width="63.44140625" style="2" customWidth="1"/>
    <col min="21" max="26" width="8.6640625" style="2" customWidth="1"/>
  </cols>
  <sheetData>
    <row r="1" spans="1:22" ht="14.4">
      <c r="A1" s="1" t="s">
        <v>1662</v>
      </c>
    </row>
    <row r="2" spans="1:22" ht="14.4">
      <c r="A2" s="1" t="s">
        <v>1663</v>
      </c>
      <c r="B2" s="1" t="s">
        <v>1664</v>
      </c>
      <c r="C2" s="1" t="s">
        <v>1665</v>
      </c>
      <c r="D2" s="1" t="s">
        <v>1666</v>
      </c>
      <c r="E2" s="1" t="s">
        <v>1667</v>
      </c>
      <c r="F2" s="1" t="s">
        <v>57</v>
      </c>
      <c r="G2" s="1" t="s">
        <v>1668</v>
      </c>
      <c r="H2" s="1" t="s">
        <v>1669</v>
      </c>
      <c r="I2" s="1" t="s">
        <v>1670</v>
      </c>
      <c r="J2" s="1" t="s">
        <v>1671</v>
      </c>
      <c r="K2" s="1" t="s">
        <v>285</v>
      </c>
      <c r="L2" s="1" t="s">
        <v>1672</v>
      </c>
      <c r="M2" s="1" t="s">
        <v>1673</v>
      </c>
      <c r="N2" s="1" t="s">
        <v>1674</v>
      </c>
      <c r="O2" s="1" t="s">
        <v>1675</v>
      </c>
      <c r="P2" s="1" t="s">
        <v>1676</v>
      </c>
      <c r="Q2" s="1" t="s">
        <v>1677</v>
      </c>
      <c r="R2" s="1" t="s">
        <v>1678</v>
      </c>
      <c r="S2" s="1" t="s">
        <v>1679</v>
      </c>
      <c r="T2" s="1" t="s">
        <v>1680</v>
      </c>
      <c r="U2" s="1" t="s">
        <v>1681</v>
      </c>
      <c r="V2" s="1" t="s">
        <v>1682</v>
      </c>
    </row>
    <row r="3" spans="1:22" ht="14.4">
      <c r="A3" s="1" t="s">
        <v>1683</v>
      </c>
      <c r="B3" s="1" t="s">
        <v>1684</v>
      </c>
      <c r="C3" s="1" t="s">
        <v>1685</v>
      </c>
      <c r="D3" s="1" t="s">
        <v>1686</v>
      </c>
      <c r="E3" s="1" t="s">
        <v>1687</v>
      </c>
      <c r="F3" s="1" t="s">
        <v>300</v>
      </c>
      <c r="G3" s="1" t="s">
        <v>1688</v>
      </c>
      <c r="H3" s="1" t="s">
        <v>1689</v>
      </c>
      <c r="I3" s="1" t="s">
        <v>1690</v>
      </c>
      <c r="J3" s="1" t="s">
        <v>1691</v>
      </c>
      <c r="K3" s="1" t="s">
        <v>1692</v>
      </c>
      <c r="L3" s="1">
        <v>6</v>
      </c>
      <c r="M3" s="1">
        <v>2</v>
      </c>
      <c r="N3" s="1" t="s">
        <v>1693</v>
      </c>
      <c r="O3" s="1" t="s">
        <v>1694</v>
      </c>
      <c r="S3" s="1" t="s">
        <v>1693</v>
      </c>
    </row>
    <row r="4" spans="1:22" ht="14.4">
      <c r="A4" s="1" t="s">
        <v>1695</v>
      </c>
      <c r="B4" s="1" t="s">
        <v>1696</v>
      </c>
      <c r="C4" s="1" t="s">
        <v>1697</v>
      </c>
      <c r="D4" s="1" t="s">
        <v>1698</v>
      </c>
      <c r="E4" s="1" t="s">
        <v>1699</v>
      </c>
      <c r="F4" s="1" t="s">
        <v>300</v>
      </c>
      <c r="G4" s="1" t="s">
        <v>1688</v>
      </c>
      <c r="H4" s="1" t="s">
        <v>1239</v>
      </c>
      <c r="I4" s="1" t="s">
        <v>1690</v>
      </c>
      <c r="J4" s="1" t="s">
        <v>1700</v>
      </c>
      <c r="K4" s="1" t="s">
        <v>1701</v>
      </c>
      <c r="L4" s="1">
        <v>15</v>
      </c>
      <c r="M4" s="1">
        <v>5</v>
      </c>
      <c r="N4" s="1" t="s">
        <v>301</v>
      </c>
      <c r="O4" s="1" t="s">
        <v>1702</v>
      </c>
      <c r="R4" s="1" t="s">
        <v>1703</v>
      </c>
      <c r="S4" s="1" t="s">
        <v>1693</v>
      </c>
    </row>
    <row r="5" spans="1:22" ht="14.4">
      <c r="A5" s="1" t="s">
        <v>1704</v>
      </c>
      <c r="B5" s="1" t="s">
        <v>1705</v>
      </c>
      <c r="C5" s="1" t="s">
        <v>1706</v>
      </c>
      <c r="D5" s="1" t="s">
        <v>1686</v>
      </c>
      <c r="E5" s="1" t="s">
        <v>1687</v>
      </c>
      <c r="F5" s="1" t="s">
        <v>300</v>
      </c>
      <c r="G5" s="1" t="s">
        <v>1688</v>
      </c>
      <c r="H5" s="1" t="s">
        <v>1707</v>
      </c>
      <c r="I5" s="1" t="s">
        <v>1690</v>
      </c>
      <c r="J5" s="1" t="s">
        <v>1708</v>
      </c>
      <c r="K5" s="1" t="s">
        <v>1692</v>
      </c>
      <c r="L5" s="1">
        <v>20</v>
      </c>
      <c r="M5" s="1">
        <v>3</v>
      </c>
      <c r="N5" s="1" t="s">
        <v>1693</v>
      </c>
      <c r="O5" s="1" t="s">
        <v>1709</v>
      </c>
      <c r="P5" s="1" t="s">
        <v>1710</v>
      </c>
      <c r="Q5" s="1" t="s">
        <v>1711</v>
      </c>
      <c r="R5" s="1" t="s">
        <v>1712</v>
      </c>
      <c r="S5" s="1" t="s">
        <v>1693</v>
      </c>
      <c r="T5" s="1" t="s">
        <v>1713</v>
      </c>
      <c r="V5" s="1" t="s">
        <v>1714</v>
      </c>
    </row>
    <row r="6" spans="1:22" ht="14.4">
      <c r="A6" s="1" t="s">
        <v>1715</v>
      </c>
      <c r="B6" s="1" t="s">
        <v>1716</v>
      </c>
      <c r="C6" s="1" t="s">
        <v>1717</v>
      </c>
      <c r="D6" s="1" t="s">
        <v>1718</v>
      </c>
      <c r="E6" s="1" t="s">
        <v>1719</v>
      </c>
      <c r="F6" s="1" t="s">
        <v>300</v>
      </c>
      <c r="G6" s="1" t="s">
        <v>1688</v>
      </c>
      <c r="H6" s="1" t="s">
        <v>1720</v>
      </c>
      <c r="I6" s="1" t="s">
        <v>1690</v>
      </c>
      <c r="J6" s="1" t="s">
        <v>1691</v>
      </c>
      <c r="K6" s="1" t="s">
        <v>1692</v>
      </c>
      <c r="L6" s="1">
        <v>10</v>
      </c>
      <c r="M6" s="1">
        <v>3</v>
      </c>
      <c r="N6" s="1" t="s">
        <v>301</v>
      </c>
      <c r="O6" s="1" t="s">
        <v>1721</v>
      </c>
      <c r="P6" s="1" t="s">
        <v>1722</v>
      </c>
      <c r="S6" s="1" t="s">
        <v>1693</v>
      </c>
      <c r="T6" s="1" t="s">
        <v>1723</v>
      </c>
      <c r="U6" s="1" t="s">
        <v>1724</v>
      </c>
      <c r="V6" s="1" t="s">
        <v>1725</v>
      </c>
    </row>
    <row r="7" spans="1:22" ht="14.4">
      <c r="A7" s="1" t="s">
        <v>1726</v>
      </c>
      <c r="B7" s="1" t="s">
        <v>1727</v>
      </c>
      <c r="C7" s="1" t="s">
        <v>1728</v>
      </c>
      <c r="D7" s="1" t="s">
        <v>1698</v>
      </c>
      <c r="E7" s="1" t="s">
        <v>1699</v>
      </c>
      <c r="F7" s="1" t="s">
        <v>300</v>
      </c>
      <c r="G7" s="1" t="s">
        <v>1688</v>
      </c>
      <c r="H7" s="1" t="s">
        <v>1707</v>
      </c>
      <c r="I7" s="1" t="s">
        <v>1690</v>
      </c>
      <c r="J7" s="1" t="s">
        <v>1729</v>
      </c>
      <c r="K7" s="1" t="s">
        <v>1692</v>
      </c>
      <c r="L7" s="1">
        <v>6</v>
      </c>
      <c r="M7" s="1" t="s">
        <v>1693</v>
      </c>
      <c r="N7" s="1" t="s">
        <v>1693</v>
      </c>
      <c r="O7" s="1" t="s">
        <v>1730</v>
      </c>
      <c r="S7" s="1" t="s">
        <v>1693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F159"/>
  <sheetViews>
    <sheetView showGridLines="0" workbookViewId="0">
      <pane ySplit="4" topLeftCell="A78" activePane="bottomLeft" state="frozen"/>
      <selection pane="bottomLeft" activeCell="B15" sqref="B15"/>
    </sheetView>
  </sheetViews>
  <sheetFormatPr defaultRowHeight="14.4"/>
  <cols>
    <col min="1" max="1" width="12" style="2" customWidth="1"/>
    <col min="2" max="2" width="42" style="2" customWidth="1"/>
    <col min="3" max="3" width="12" style="2" customWidth="1"/>
    <col min="4" max="4" width="34" style="2" customWidth="1"/>
    <col min="5" max="5" width="18" style="2" customWidth="1"/>
    <col min="6" max="6" width="110" style="2" customWidth="1"/>
  </cols>
  <sheetData>
    <row r="1" spans="1:6" ht="15.6">
      <c r="A1" s="22" t="s">
        <v>1731</v>
      </c>
      <c r="B1" s="20"/>
      <c r="C1" s="20"/>
      <c r="D1" s="20"/>
      <c r="E1" s="20"/>
      <c r="F1" s="20"/>
    </row>
    <row r="2" spans="1:6">
      <c r="A2" s="21" t="s">
        <v>1732</v>
      </c>
      <c r="B2" s="20"/>
      <c r="C2" s="20"/>
      <c r="D2" s="20"/>
      <c r="E2" s="20"/>
      <c r="F2" s="20"/>
    </row>
    <row r="4" spans="1:6">
      <c r="A4" s="15" t="s">
        <v>1733</v>
      </c>
      <c r="B4" s="15" t="s">
        <v>1734</v>
      </c>
      <c r="C4" s="15" t="s">
        <v>1735</v>
      </c>
      <c r="D4" s="15" t="s">
        <v>1736</v>
      </c>
      <c r="E4" s="15" t="s">
        <v>1536</v>
      </c>
      <c r="F4" s="15" t="s">
        <v>1737</v>
      </c>
    </row>
    <row r="5" spans="1:6">
      <c r="A5" s="16" t="s">
        <v>1738</v>
      </c>
      <c r="B5" s="17" t="s">
        <v>1739</v>
      </c>
      <c r="C5" s="16">
        <v>1</v>
      </c>
      <c r="D5" s="17"/>
      <c r="E5" s="16" t="s">
        <v>1740</v>
      </c>
      <c r="F5" s="17" t="s">
        <v>1741</v>
      </c>
    </row>
    <row r="6" spans="1:6">
      <c r="A6" s="18" t="s">
        <v>1738</v>
      </c>
      <c r="B6" s="19" t="s">
        <v>1739</v>
      </c>
      <c r="C6" s="18">
        <v>2</v>
      </c>
      <c r="D6" s="19"/>
      <c r="E6" s="18" t="s">
        <v>1740</v>
      </c>
      <c r="F6" s="19" t="s">
        <v>1742</v>
      </c>
    </row>
    <row r="7" spans="1:6">
      <c r="A7" s="18" t="s">
        <v>1738</v>
      </c>
      <c r="B7" s="19" t="s">
        <v>1739</v>
      </c>
      <c r="C7" s="18">
        <v>3</v>
      </c>
      <c r="D7" s="19"/>
      <c r="E7" s="18" t="s">
        <v>1740</v>
      </c>
      <c r="F7" s="19" t="s">
        <v>1743</v>
      </c>
    </row>
    <row r="8" spans="1:6">
      <c r="A8" s="18" t="s">
        <v>1738</v>
      </c>
      <c r="B8" s="19" t="s">
        <v>1739</v>
      </c>
      <c r="C8" s="18">
        <v>4</v>
      </c>
      <c r="D8" s="19"/>
      <c r="E8" s="18" t="s">
        <v>1740</v>
      </c>
      <c r="F8" s="19" t="s">
        <v>1744</v>
      </c>
    </row>
    <row r="9" spans="1:6">
      <c r="A9" s="18" t="s">
        <v>1738</v>
      </c>
      <c r="B9" s="19" t="s">
        <v>1739</v>
      </c>
      <c r="C9" s="18">
        <v>5</v>
      </c>
      <c r="D9" s="19"/>
      <c r="E9" s="18" t="s">
        <v>1740</v>
      </c>
      <c r="F9" s="19" t="s">
        <v>1745</v>
      </c>
    </row>
    <row r="10" spans="1:6">
      <c r="A10" s="18" t="s">
        <v>1738</v>
      </c>
      <c r="B10" s="19" t="s">
        <v>1739</v>
      </c>
      <c r="C10" s="18">
        <v>6</v>
      </c>
      <c r="D10" s="19"/>
      <c r="E10" s="18" t="s">
        <v>1740</v>
      </c>
      <c r="F10" s="19" t="s">
        <v>1746</v>
      </c>
    </row>
    <row r="11" spans="1:6" ht="27.6">
      <c r="A11" s="18" t="s">
        <v>1738</v>
      </c>
      <c r="B11" s="19" t="s">
        <v>1739</v>
      </c>
      <c r="C11" s="18">
        <v>7</v>
      </c>
      <c r="D11" s="19" t="s">
        <v>1747</v>
      </c>
      <c r="E11" s="18" t="s">
        <v>1748</v>
      </c>
      <c r="F11" s="19" t="s">
        <v>1747</v>
      </c>
    </row>
    <row r="12" spans="1:6" ht="27.6">
      <c r="A12" s="18" t="s">
        <v>1738</v>
      </c>
      <c r="B12" s="19" t="s">
        <v>1739</v>
      </c>
      <c r="C12" s="18">
        <v>8</v>
      </c>
      <c r="D12" s="19" t="s">
        <v>1747</v>
      </c>
      <c r="E12" s="18" t="s">
        <v>1749</v>
      </c>
      <c r="F12" s="19" t="s">
        <v>1750</v>
      </c>
    </row>
    <row r="13" spans="1:6" ht="27.6">
      <c r="A13" s="18" t="s">
        <v>1738</v>
      </c>
      <c r="B13" s="19" t="s">
        <v>1739</v>
      </c>
      <c r="C13" s="18">
        <v>9</v>
      </c>
      <c r="D13" s="19" t="s">
        <v>1747</v>
      </c>
      <c r="E13" s="18" t="s">
        <v>1749</v>
      </c>
      <c r="F13" s="19" t="s">
        <v>1751</v>
      </c>
    </row>
    <row r="14" spans="1:6" ht="27.6">
      <c r="A14" s="18" t="s">
        <v>1738</v>
      </c>
      <c r="B14" s="19" t="s">
        <v>1739</v>
      </c>
      <c r="C14" s="18">
        <v>10</v>
      </c>
      <c r="D14" s="19" t="s">
        <v>1747</v>
      </c>
      <c r="E14" s="18" t="s">
        <v>1749</v>
      </c>
      <c r="F14" s="19" t="s">
        <v>1752</v>
      </c>
    </row>
    <row r="15" spans="1:6" ht="27.6">
      <c r="A15" s="18" t="s">
        <v>1738</v>
      </c>
      <c r="B15" s="19" t="s">
        <v>1739</v>
      </c>
      <c r="C15" s="18">
        <v>11</v>
      </c>
      <c r="D15" s="19" t="s">
        <v>1747</v>
      </c>
      <c r="E15" s="18" t="s">
        <v>1749</v>
      </c>
      <c r="F15" s="19" t="s">
        <v>1753</v>
      </c>
    </row>
    <row r="16" spans="1:6" ht="27.6">
      <c r="A16" s="18" t="s">
        <v>1738</v>
      </c>
      <c r="B16" s="19" t="s">
        <v>1739</v>
      </c>
      <c r="C16" s="18">
        <v>12</v>
      </c>
      <c r="D16" s="19" t="s">
        <v>1747</v>
      </c>
      <c r="E16" s="18" t="s">
        <v>1749</v>
      </c>
      <c r="F16" s="19" t="s">
        <v>1754</v>
      </c>
    </row>
    <row r="17" spans="1:6" ht="27.6">
      <c r="A17" s="18" t="s">
        <v>1738</v>
      </c>
      <c r="B17" s="19" t="s">
        <v>1739</v>
      </c>
      <c r="C17" s="18">
        <v>13</v>
      </c>
      <c r="D17" s="19" t="s">
        <v>1747</v>
      </c>
      <c r="E17" s="18" t="s">
        <v>1749</v>
      </c>
      <c r="F17" s="19" t="s">
        <v>1755</v>
      </c>
    </row>
    <row r="18" spans="1:6" ht="27.6">
      <c r="A18" s="18" t="s">
        <v>1738</v>
      </c>
      <c r="B18" s="19" t="s">
        <v>1739</v>
      </c>
      <c r="C18" s="18">
        <v>14</v>
      </c>
      <c r="D18" s="19" t="s">
        <v>1756</v>
      </c>
      <c r="E18" s="18" t="s">
        <v>1748</v>
      </c>
      <c r="F18" s="19" t="s">
        <v>1756</v>
      </c>
    </row>
    <row r="19" spans="1:6" ht="27.6">
      <c r="A19" s="18" t="s">
        <v>1738</v>
      </c>
      <c r="B19" s="19" t="s">
        <v>1739</v>
      </c>
      <c r="C19" s="18">
        <v>15</v>
      </c>
      <c r="D19" s="19" t="s">
        <v>1756</v>
      </c>
      <c r="E19" s="18" t="s">
        <v>1757</v>
      </c>
      <c r="F19" s="19" t="s">
        <v>1758</v>
      </c>
    </row>
    <row r="20" spans="1:6" ht="27.6">
      <c r="A20" s="18" t="s">
        <v>1738</v>
      </c>
      <c r="B20" s="19" t="s">
        <v>1739</v>
      </c>
      <c r="C20" s="18">
        <v>16</v>
      </c>
      <c r="D20" s="19" t="s">
        <v>1756</v>
      </c>
      <c r="E20" s="18" t="s">
        <v>1759</v>
      </c>
      <c r="F20" s="19" t="s">
        <v>1760</v>
      </c>
    </row>
    <row r="21" spans="1:6" ht="27.6">
      <c r="A21" s="18" t="s">
        <v>1738</v>
      </c>
      <c r="B21" s="19" t="s">
        <v>1739</v>
      </c>
      <c r="C21" s="18">
        <v>17</v>
      </c>
      <c r="D21" s="19" t="s">
        <v>1756</v>
      </c>
      <c r="E21" s="18" t="s">
        <v>1761</v>
      </c>
      <c r="F21" s="19" t="s">
        <v>1762</v>
      </c>
    </row>
    <row r="22" spans="1:6" ht="27.6">
      <c r="A22" s="18" t="s">
        <v>1738</v>
      </c>
      <c r="B22" s="19" t="s">
        <v>1739</v>
      </c>
      <c r="C22" s="18">
        <v>18</v>
      </c>
      <c r="D22" s="19" t="s">
        <v>1756</v>
      </c>
      <c r="E22" s="18" t="s">
        <v>1763</v>
      </c>
      <c r="F22" s="19" t="s">
        <v>1764</v>
      </c>
    </row>
    <row r="23" spans="1:6" ht="27.6">
      <c r="A23" s="18" t="s">
        <v>1738</v>
      </c>
      <c r="B23" s="19" t="s">
        <v>1739</v>
      </c>
      <c r="C23" s="18">
        <v>19</v>
      </c>
      <c r="D23" s="19" t="s">
        <v>1756</v>
      </c>
      <c r="E23" s="18" t="s">
        <v>1765</v>
      </c>
      <c r="F23" s="19" t="s">
        <v>1766</v>
      </c>
    </row>
    <row r="24" spans="1:6" ht="27.6">
      <c r="A24" s="18" t="s">
        <v>1738</v>
      </c>
      <c r="B24" s="19" t="s">
        <v>1739</v>
      </c>
      <c r="C24" s="18">
        <v>20</v>
      </c>
      <c r="D24" s="19" t="s">
        <v>1756</v>
      </c>
      <c r="E24" s="18" t="s">
        <v>1767</v>
      </c>
      <c r="F24" s="19" t="s">
        <v>1768</v>
      </c>
    </row>
    <row r="25" spans="1:6" ht="27.6">
      <c r="A25" s="18" t="s">
        <v>1738</v>
      </c>
      <c r="B25" s="19" t="s">
        <v>1739</v>
      </c>
      <c r="C25" s="18">
        <v>21</v>
      </c>
      <c r="D25" s="19" t="s">
        <v>1756</v>
      </c>
      <c r="E25" s="18" t="s">
        <v>1769</v>
      </c>
      <c r="F25" s="19" t="s">
        <v>1770</v>
      </c>
    </row>
    <row r="26" spans="1:6" ht="27.6">
      <c r="A26" s="18" t="s">
        <v>1738</v>
      </c>
      <c r="B26" s="19" t="s">
        <v>1739</v>
      </c>
      <c r="C26" s="18">
        <v>22</v>
      </c>
      <c r="D26" s="19" t="s">
        <v>1756</v>
      </c>
      <c r="E26" s="18" t="s">
        <v>1771</v>
      </c>
      <c r="F26" s="19" t="s">
        <v>1772</v>
      </c>
    </row>
    <row r="27" spans="1:6" ht="27.6">
      <c r="A27" s="18" t="s">
        <v>1738</v>
      </c>
      <c r="B27" s="19" t="s">
        <v>1739</v>
      </c>
      <c r="C27" s="18">
        <v>23</v>
      </c>
      <c r="D27" s="19" t="s">
        <v>1756</v>
      </c>
      <c r="E27" s="18" t="s">
        <v>1773</v>
      </c>
      <c r="F27" s="19" t="s">
        <v>1774</v>
      </c>
    </row>
    <row r="28" spans="1:6" ht="27.6">
      <c r="A28" s="18" t="s">
        <v>1738</v>
      </c>
      <c r="B28" s="19" t="s">
        <v>1739</v>
      </c>
      <c r="C28" s="18">
        <v>24</v>
      </c>
      <c r="D28" s="19" t="s">
        <v>1756</v>
      </c>
      <c r="E28" s="18" t="s">
        <v>1775</v>
      </c>
      <c r="F28" s="19" t="s">
        <v>1776</v>
      </c>
    </row>
    <row r="29" spans="1:6">
      <c r="A29" s="18" t="s">
        <v>1738</v>
      </c>
      <c r="B29" s="19" t="s">
        <v>1739</v>
      </c>
      <c r="C29" s="18">
        <v>25</v>
      </c>
      <c r="D29" s="19" t="s">
        <v>1777</v>
      </c>
      <c r="E29" s="18" t="s">
        <v>1748</v>
      </c>
      <c r="F29" s="19" t="s">
        <v>1777</v>
      </c>
    </row>
    <row r="30" spans="1:6">
      <c r="A30" s="18" t="s">
        <v>1738</v>
      </c>
      <c r="B30" s="19" t="s">
        <v>1739</v>
      </c>
      <c r="C30" s="18">
        <v>26</v>
      </c>
      <c r="D30" s="19" t="s">
        <v>1777</v>
      </c>
      <c r="E30" s="18" t="s">
        <v>1778</v>
      </c>
      <c r="F30" s="19" t="s">
        <v>1779</v>
      </c>
    </row>
    <row r="31" spans="1:6">
      <c r="A31" s="18" t="s">
        <v>1738</v>
      </c>
      <c r="B31" s="19" t="s">
        <v>1739</v>
      </c>
      <c r="C31" s="18">
        <v>27</v>
      </c>
      <c r="D31" s="19" t="s">
        <v>1777</v>
      </c>
      <c r="E31" s="18" t="s">
        <v>1780</v>
      </c>
      <c r="F31" s="19" t="s">
        <v>1781</v>
      </c>
    </row>
    <row r="32" spans="1:6" ht="27.6">
      <c r="A32" s="18" t="s">
        <v>1738</v>
      </c>
      <c r="B32" s="19" t="s">
        <v>1739</v>
      </c>
      <c r="C32" s="18">
        <v>28</v>
      </c>
      <c r="D32" s="19" t="s">
        <v>1777</v>
      </c>
      <c r="E32" s="18" t="s">
        <v>1757</v>
      </c>
      <c r="F32" s="19" t="s">
        <v>1782</v>
      </c>
    </row>
    <row r="33" spans="1:6" ht="27.6">
      <c r="A33" s="18" t="s">
        <v>1738</v>
      </c>
      <c r="B33" s="19" t="s">
        <v>1739</v>
      </c>
      <c r="C33" s="18">
        <v>29</v>
      </c>
      <c r="D33" s="19" t="s">
        <v>1783</v>
      </c>
      <c r="E33" s="18" t="s">
        <v>1748</v>
      </c>
      <c r="F33" s="19" t="s">
        <v>1783</v>
      </c>
    </row>
    <row r="34" spans="1:6" ht="27.6">
      <c r="A34" s="18" t="s">
        <v>1738</v>
      </c>
      <c r="B34" s="19" t="s">
        <v>1739</v>
      </c>
      <c r="C34" s="18">
        <v>30</v>
      </c>
      <c r="D34" s="19" t="s">
        <v>1783</v>
      </c>
      <c r="E34" s="18" t="s">
        <v>1757</v>
      </c>
      <c r="F34" s="19" t="s">
        <v>1784</v>
      </c>
    </row>
    <row r="35" spans="1:6" ht="27.6">
      <c r="A35" s="18" t="s">
        <v>1738</v>
      </c>
      <c r="B35" s="19" t="s">
        <v>1739</v>
      </c>
      <c r="C35" s="18">
        <v>31</v>
      </c>
      <c r="D35" s="19" t="s">
        <v>1783</v>
      </c>
      <c r="E35" s="18" t="s">
        <v>1759</v>
      </c>
      <c r="F35" s="19" t="s">
        <v>1785</v>
      </c>
    </row>
    <row r="36" spans="1:6" ht="27.6">
      <c r="A36" s="18" t="s">
        <v>1738</v>
      </c>
      <c r="B36" s="19" t="s">
        <v>1739</v>
      </c>
      <c r="C36" s="18">
        <v>32</v>
      </c>
      <c r="D36" s="19" t="s">
        <v>1783</v>
      </c>
      <c r="E36" s="18" t="s">
        <v>1761</v>
      </c>
      <c r="F36" s="19" t="s">
        <v>1786</v>
      </c>
    </row>
    <row r="37" spans="1:6" ht="27.6">
      <c r="A37" s="18" t="s">
        <v>1738</v>
      </c>
      <c r="B37" s="19" t="s">
        <v>1739</v>
      </c>
      <c r="C37" s="18">
        <v>33</v>
      </c>
      <c r="D37" s="19" t="s">
        <v>1783</v>
      </c>
      <c r="E37" s="18" t="s">
        <v>1763</v>
      </c>
      <c r="F37" s="19" t="s">
        <v>1787</v>
      </c>
    </row>
    <row r="38" spans="1:6" ht="27.6">
      <c r="A38" s="18" t="s">
        <v>1738</v>
      </c>
      <c r="B38" s="19" t="s">
        <v>1739</v>
      </c>
      <c r="C38" s="18">
        <v>34</v>
      </c>
      <c r="D38" s="19" t="s">
        <v>1783</v>
      </c>
      <c r="E38" s="18" t="s">
        <v>1765</v>
      </c>
      <c r="F38" s="19" t="s">
        <v>1788</v>
      </c>
    </row>
    <row r="39" spans="1:6" ht="27.6">
      <c r="A39" s="18" t="s">
        <v>1738</v>
      </c>
      <c r="B39" s="19" t="s">
        <v>1739</v>
      </c>
      <c r="C39" s="18">
        <v>35</v>
      </c>
      <c r="D39" s="19" t="s">
        <v>1783</v>
      </c>
      <c r="E39" s="18" t="s">
        <v>1767</v>
      </c>
      <c r="F39" s="19" t="s">
        <v>1789</v>
      </c>
    </row>
    <row r="40" spans="1:6" ht="27.6">
      <c r="A40" s="18" t="s">
        <v>1738</v>
      </c>
      <c r="B40" s="19" t="s">
        <v>1739</v>
      </c>
      <c r="C40" s="18">
        <v>36</v>
      </c>
      <c r="D40" s="19" t="s">
        <v>1783</v>
      </c>
      <c r="E40" s="18" t="s">
        <v>1769</v>
      </c>
      <c r="F40" s="19" t="s">
        <v>1790</v>
      </c>
    </row>
    <row r="41" spans="1:6" ht="27.6">
      <c r="A41" s="18" t="s">
        <v>1738</v>
      </c>
      <c r="B41" s="19" t="s">
        <v>1739</v>
      </c>
      <c r="C41" s="18">
        <v>37</v>
      </c>
      <c r="D41" s="19" t="s">
        <v>1783</v>
      </c>
      <c r="E41" s="18" t="s">
        <v>1791</v>
      </c>
      <c r="F41" s="19" t="s">
        <v>1792</v>
      </c>
    </row>
    <row r="42" spans="1:6" ht="27.6">
      <c r="A42" s="18" t="s">
        <v>1738</v>
      </c>
      <c r="B42" s="19" t="s">
        <v>1739</v>
      </c>
      <c r="C42" s="18">
        <v>38</v>
      </c>
      <c r="D42" s="19" t="s">
        <v>1783</v>
      </c>
      <c r="E42" s="18" t="s">
        <v>1793</v>
      </c>
      <c r="F42" s="19" t="s">
        <v>1794</v>
      </c>
    </row>
    <row r="43" spans="1:6" ht="27.6">
      <c r="A43" s="18" t="s">
        <v>1738</v>
      </c>
      <c r="B43" s="19" t="s">
        <v>1739</v>
      </c>
      <c r="C43" s="18">
        <v>39</v>
      </c>
      <c r="D43" s="19" t="s">
        <v>1783</v>
      </c>
      <c r="E43" s="18" t="s">
        <v>1793</v>
      </c>
      <c r="F43" s="19" t="s">
        <v>1795</v>
      </c>
    </row>
    <row r="44" spans="1:6">
      <c r="A44" s="16" t="s">
        <v>1796</v>
      </c>
      <c r="B44" s="17" t="s">
        <v>1797</v>
      </c>
      <c r="C44" s="16">
        <v>1</v>
      </c>
      <c r="D44" s="17"/>
      <c r="E44" s="16" t="s">
        <v>1740</v>
      </c>
      <c r="F44" s="17" t="s">
        <v>1798</v>
      </c>
    </row>
    <row r="45" spans="1:6">
      <c r="A45" s="18" t="s">
        <v>1796</v>
      </c>
      <c r="B45" s="19" t="s">
        <v>1797</v>
      </c>
      <c r="C45" s="18">
        <v>2</v>
      </c>
      <c r="D45" s="19"/>
      <c r="E45" s="18" t="s">
        <v>1740</v>
      </c>
      <c r="F45" s="19" t="s">
        <v>1799</v>
      </c>
    </row>
    <row r="46" spans="1:6">
      <c r="A46" s="18" t="s">
        <v>1796</v>
      </c>
      <c r="B46" s="19" t="s">
        <v>1797</v>
      </c>
      <c r="C46" s="18">
        <v>3</v>
      </c>
      <c r="D46" s="19"/>
      <c r="E46" s="18" t="s">
        <v>1740</v>
      </c>
      <c r="F46" s="19" t="s">
        <v>1743</v>
      </c>
    </row>
    <row r="47" spans="1:6">
      <c r="A47" s="18" t="s">
        <v>1796</v>
      </c>
      <c r="B47" s="19" t="s">
        <v>1797</v>
      </c>
      <c r="C47" s="18">
        <v>4</v>
      </c>
      <c r="D47" s="19"/>
      <c r="E47" s="18" t="s">
        <v>1740</v>
      </c>
      <c r="F47" s="19" t="s">
        <v>1800</v>
      </c>
    </row>
    <row r="48" spans="1:6">
      <c r="A48" s="18" t="s">
        <v>1796</v>
      </c>
      <c r="B48" s="19" t="s">
        <v>1797</v>
      </c>
      <c r="C48" s="18">
        <v>5</v>
      </c>
      <c r="D48" s="19"/>
      <c r="E48" s="18" t="s">
        <v>1740</v>
      </c>
      <c r="F48" s="19" t="s">
        <v>1801</v>
      </c>
    </row>
    <row r="49" spans="1:6">
      <c r="A49" s="18" t="s">
        <v>1796</v>
      </c>
      <c r="B49" s="19" t="s">
        <v>1797</v>
      </c>
      <c r="C49" s="18">
        <v>6</v>
      </c>
      <c r="D49" s="19"/>
      <c r="E49" s="18" t="s">
        <v>1740</v>
      </c>
      <c r="F49" s="19" t="s">
        <v>1746</v>
      </c>
    </row>
    <row r="50" spans="1:6" ht="27.6">
      <c r="A50" s="18" t="s">
        <v>1796</v>
      </c>
      <c r="B50" s="19" t="s">
        <v>1797</v>
      </c>
      <c r="C50" s="18">
        <v>7</v>
      </c>
      <c r="D50" s="19" t="s">
        <v>1747</v>
      </c>
      <c r="E50" s="18" t="s">
        <v>1748</v>
      </c>
      <c r="F50" s="19" t="s">
        <v>1747</v>
      </c>
    </row>
    <row r="51" spans="1:6" ht="27.6">
      <c r="A51" s="18" t="s">
        <v>1796</v>
      </c>
      <c r="B51" s="19" t="s">
        <v>1797</v>
      </c>
      <c r="C51" s="18">
        <v>8</v>
      </c>
      <c r="D51" s="19" t="s">
        <v>1747</v>
      </c>
      <c r="E51" s="18" t="s">
        <v>1749</v>
      </c>
      <c r="F51" s="19" t="s">
        <v>1750</v>
      </c>
    </row>
    <row r="52" spans="1:6" ht="27.6">
      <c r="A52" s="18" t="s">
        <v>1796</v>
      </c>
      <c r="B52" s="19" t="s">
        <v>1797</v>
      </c>
      <c r="C52" s="18">
        <v>9</v>
      </c>
      <c r="D52" s="19" t="s">
        <v>1747</v>
      </c>
      <c r="E52" s="18" t="s">
        <v>1749</v>
      </c>
      <c r="F52" s="19" t="s">
        <v>1802</v>
      </c>
    </row>
    <row r="53" spans="1:6" ht="27.6">
      <c r="A53" s="18" t="s">
        <v>1796</v>
      </c>
      <c r="B53" s="19" t="s">
        <v>1797</v>
      </c>
      <c r="C53" s="18">
        <v>10</v>
      </c>
      <c r="D53" s="19" t="s">
        <v>1747</v>
      </c>
      <c r="E53" s="18" t="s">
        <v>1749</v>
      </c>
      <c r="F53" s="19" t="s">
        <v>1803</v>
      </c>
    </row>
    <row r="54" spans="1:6" ht="27.6">
      <c r="A54" s="18" t="s">
        <v>1796</v>
      </c>
      <c r="B54" s="19" t="s">
        <v>1797</v>
      </c>
      <c r="C54" s="18">
        <v>11</v>
      </c>
      <c r="D54" s="19" t="s">
        <v>1747</v>
      </c>
      <c r="E54" s="18" t="s">
        <v>1749</v>
      </c>
      <c r="F54" s="19" t="s">
        <v>1804</v>
      </c>
    </row>
    <row r="55" spans="1:6" ht="27.6">
      <c r="A55" s="18" t="s">
        <v>1796</v>
      </c>
      <c r="B55" s="19" t="s">
        <v>1797</v>
      </c>
      <c r="C55" s="18">
        <v>12</v>
      </c>
      <c r="D55" s="19" t="s">
        <v>1747</v>
      </c>
      <c r="E55" s="18" t="s">
        <v>1749</v>
      </c>
      <c r="F55" s="19" t="s">
        <v>1805</v>
      </c>
    </row>
    <row r="56" spans="1:6" ht="27.6">
      <c r="A56" s="18" t="s">
        <v>1796</v>
      </c>
      <c r="B56" s="19" t="s">
        <v>1797</v>
      </c>
      <c r="C56" s="18">
        <v>13</v>
      </c>
      <c r="D56" s="19" t="s">
        <v>1747</v>
      </c>
      <c r="E56" s="18" t="s">
        <v>1749</v>
      </c>
      <c r="F56" s="19" t="s">
        <v>1806</v>
      </c>
    </row>
    <row r="57" spans="1:6" ht="27.6">
      <c r="A57" s="18" t="s">
        <v>1796</v>
      </c>
      <c r="B57" s="19" t="s">
        <v>1797</v>
      </c>
      <c r="C57" s="18">
        <v>14</v>
      </c>
      <c r="D57" s="19" t="s">
        <v>1807</v>
      </c>
      <c r="E57" s="18" t="s">
        <v>1748</v>
      </c>
      <c r="F57" s="19" t="s">
        <v>1807</v>
      </c>
    </row>
    <row r="58" spans="1:6" ht="27.6">
      <c r="A58" s="18" t="s">
        <v>1796</v>
      </c>
      <c r="B58" s="19" t="s">
        <v>1797</v>
      </c>
      <c r="C58" s="18">
        <v>15</v>
      </c>
      <c r="D58" s="19" t="s">
        <v>1807</v>
      </c>
      <c r="E58" s="18" t="s">
        <v>1757</v>
      </c>
      <c r="F58" s="19" t="s">
        <v>1808</v>
      </c>
    </row>
    <row r="59" spans="1:6" ht="27.6">
      <c r="A59" s="18" t="s">
        <v>1796</v>
      </c>
      <c r="B59" s="19" t="s">
        <v>1797</v>
      </c>
      <c r="C59" s="18">
        <v>16</v>
      </c>
      <c r="D59" s="19" t="s">
        <v>1807</v>
      </c>
      <c r="E59" s="18" t="s">
        <v>1759</v>
      </c>
      <c r="F59" s="19" t="s">
        <v>1809</v>
      </c>
    </row>
    <row r="60" spans="1:6" ht="27.6">
      <c r="A60" s="18" t="s">
        <v>1796</v>
      </c>
      <c r="B60" s="19" t="s">
        <v>1797</v>
      </c>
      <c r="C60" s="18">
        <v>17</v>
      </c>
      <c r="D60" s="19" t="s">
        <v>1807</v>
      </c>
      <c r="E60" s="18" t="s">
        <v>1761</v>
      </c>
      <c r="F60" s="19" t="s">
        <v>1810</v>
      </c>
    </row>
    <row r="61" spans="1:6" ht="27.6">
      <c r="A61" s="18" t="s">
        <v>1796</v>
      </c>
      <c r="B61" s="19" t="s">
        <v>1797</v>
      </c>
      <c r="C61" s="18">
        <v>18</v>
      </c>
      <c r="D61" s="19" t="s">
        <v>1807</v>
      </c>
      <c r="E61" s="18" t="s">
        <v>1763</v>
      </c>
      <c r="F61" s="19" t="s">
        <v>1811</v>
      </c>
    </row>
    <row r="62" spans="1:6" ht="27.6">
      <c r="A62" s="18" t="s">
        <v>1796</v>
      </c>
      <c r="B62" s="19" t="s">
        <v>1797</v>
      </c>
      <c r="C62" s="18">
        <v>19</v>
      </c>
      <c r="D62" s="19" t="s">
        <v>1807</v>
      </c>
      <c r="E62" s="18" t="s">
        <v>1765</v>
      </c>
      <c r="F62" s="19" t="s">
        <v>1766</v>
      </c>
    </row>
    <row r="63" spans="1:6" ht="27.6">
      <c r="A63" s="18" t="s">
        <v>1796</v>
      </c>
      <c r="B63" s="19" t="s">
        <v>1797</v>
      </c>
      <c r="C63" s="18">
        <v>20</v>
      </c>
      <c r="D63" s="19" t="s">
        <v>1807</v>
      </c>
      <c r="E63" s="18" t="s">
        <v>1767</v>
      </c>
      <c r="F63" s="19" t="s">
        <v>1768</v>
      </c>
    </row>
    <row r="64" spans="1:6" ht="27.6">
      <c r="A64" s="18" t="s">
        <v>1796</v>
      </c>
      <c r="B64" s="19" t="s">
        <v>1797</v>
      </c>
      <c r="C64" s="18">
        <v>21</v>
      </c>
      <c r="D64" s="19" t="s">
        <v>1807</v>
      </c>
      <c r="E64" s="18" t="s">
        <v>1769</v>
      </c>
      <c r="F64" s="19" t="s">
        <v>1770</v>
      </c>
    </row>
    <row r="65" spans="1:6" ht="27.6">
      <c r="A65" s="18" t="s">
        <v>1796</v>
      </c>
      <c r="B65" s="19" t="s">
        <v>1797</v>
      </c>
      <c r="C65" s="18">
        <v>22</v>
      </c>
      <c r="D65" s="19" t="s">
        <v>1807</v>
      </c>
      <c r="E65" s="18" t="s">
        <v>1771</v>
      </c>
      <c r="F65" s="19" t="s">
        <v>1812</v>
      </c>
    </row>
    <row r="66" spans="1:6" ht="27.6">
      <c r="A66" s="18" t="s">
        <v>1796</v>
      </c>
      <c r="B66" s="19" t="s">
        <v>1797</v>
      </c>
      <c r="C66" s="18">
        <v>23</v>
      </c>
      <c r="D66" s="19" t="s">
        <v>1807</v>
      </c>
      <c r="E66" s="18" t="s">
        <v>1773</v>
      </c>
      <c r="F66" s="19" t="s">
        <v>1813</v>
      </c>
    </row>
    <row r="67" spans="1:6" ht="27.6">
      <c r="A67" s="18" t="s">
        <v>1796</v>
      </c>
      <c r="B67" s="19" t="s">
        <v>1797</v>
      </c>
      <c r="C67" s="18">
        <v>24</v>
      </c>
      <c r="D67" s="19" t="s">
        <v>1807</v>
      </c>
      <c r="E67" s="18" t="s">
        <v>1775</v>
      </c>
      <c r="F67" s="19" t="s">
        <v>1776</v>
      </c>
    </row>
    <row r="68" spans="1:6">
      <c r="A68" s="18" t="s">
        <v>1796</v>
      </c>
      <c r="B68" s="19" t="s">
        <v>1797</v>
      </c>
      <c r="C68" s="18">
        <v>25</v>
      </c>
      <c r="D68" s="19" t="s">
        <v>1777</v>
      </c>
      <c r="E68" s="18" t="s">
        <v>1748</v>
      </c>
      <c r="F68" s="19" t="s">
        <v>1777</v>
      </c>
    </row>
    <row r="69" spans="1:6">
      <c r="A69" s="18" t="s">
        <v>1796</v>
      </c>
      <c r="B69" s="19" t="s">
        <v>1797</v>
      </c>
      <c r="C69" s="18">
        <v>26</v>
      </c>
      <c r="D69" s="19" t="s">
        <v>1777</v>
      </c>
      <c r="E69" s="18" t="s">
        <v>1778</v>
      </c>
      <c r="F69" s="19" t="s">
        <v>1814</v>
      </c>
    </row>
    <row r="70" spans="1:6">
      <c r="A70" s="18" t="s">
        <v>1796</v>
      </c>
      <c r="B70" s="19" t="s">
        <v>1797</v>
      </c>
      <c r="C70" s="18">
        <v>27</v>
      </c>
      <c r="D70" s="19" t="s">
        <v>1777</v>
      </c>
      <c r="E70" s="18" t="s">
        <v>1780</v>
      </c>
      <c r="F70" s="19" t="s">
        <v>1781</v>
      </c>
    </row>
    <row r="71" spans="1:6" ht="27.6">
      <c r="A71" s="18" t="s">
        <v>1796</v>
      </c>
      <c r="B71" s="19" t="s">
        <v>1797</v>
      </c>
      <c r="C71" s="18">
        <v>28</v>
      </c>
      <c r="D71" s="19" t="s">
        <v>1777</v>
      </c>
      <c r="E71" s="18" t="s">
        <v>1757</v>
      </c>
      <c r="F71" s="19" t="s">
        <v>1815</v>
      </c>
    </row>
    <row r="72" spans="1:6" ht="27.6">
      <c r="A72" s="18" t="s">
        <v>1796</v>
      </c>
      <c r="B72" s="19" t="s">
        <v>1797</v>
      </c>
      <c r="C72" s="18">
        <v>29</v>
      </c>
      <c r="D72" s="19" t="s">
        <v>1783</v>
      </c>
      <c r="E72" s="18" t="s">
        <v>1748</v>
      </c>
      <c r="F72" s="19" t="s">
        <v>1783</v>
      </c>
    </row>
    <row r="73" spans="1:6" ht="27.6">
      <c r="A73" s="18" t="s">
        <v>1796</v>
      </c>
      <c r="B73" s="19" t="s">
        <v>1797</v>
      </c>
      <c r="C73" s="18">
        <v>30</v>
      </c>
      <c r="D73" s="19" t="s">
        <v>1783</v>
      </c>
      <c r="E73" s="18" t="s">
        <v>1757</v>
      </c>
      <c r="F73" s="19" t="s">
        <v>1816</v>
      </c>
    </row>
    <row r="74" spans="1:6" ht="27.6">
      <c r="A74" s="18" t="s">
        <v>1796</v>
      </c>
      <c r="B74" s="19" t="s">
        <v>1797</v>
      </c>
      <c r="C74" s="18">
        <v>31</v>
      </c>
      <c r="D74" s="19" t="s">
        <v>1783</v>
      </c>
      <c r="E74" s="18" t="s">
        <v>1759</v>
      </c>
      <c r="F74" s="19" t="s">
        <v>1817</v>
      </c>
    </row>
    <row r="75" spans="1:6" ht="27.6">
      <c r="A75" s="18" t="s">
        <v>1796</v>
      </c>
      <c r="B75" s="19" t="s">
        <v>1797</v>
      </c>
      <c r="C75" s="18">
        <v>32</v>
      </c>
      <c r="D75" s="19" t="s">
        <v>1783</v>
      </c>
      <c r="E75" s="18" t="s">
        <v>1761</v>
      </c>
      <c r="F75" s="19" t="s">
        <v>1818</v>
      </c>
    </row>
    <row r="76" spans="1:6" ht="27.6">
      <c r="A76" s="18" t="s">
        <v>1796</v>
      </c>
      <c r="B76" s="19" t="s">
        <v>1797</v>
      </c>
      <c r="C76" s="18">
        <v>33</v>
      </c>
      <c r="D76" s="19" t="s">
        <v>1783</v>
      </c>
      <c r="E76" s="18" t="s">
        <v>1763</v>
      </c>
      <c r="F76" s="19" t="s">
        <v>1819</v>
      </c>
    </row>
    <row r="77" spans="1:6" ht="27.6">
      <c r="A77" s="18" t="s">
        <v>1796</v>
      </c>
      <c r="B77" s="19" t="s">
        <v>1797</v>
      </c>
      <c r="C77" s="18">
        <v>34</v>
      </c>
      <c r="D77" s="19" t="s">
        <v>1783</v>
      </c>
      <c r="E77" s="18" t="s">
        <v>1765</v>
      </c>
      <c r="F77" s="19" t="s">
        <v>1820</v>
      </c>
    </row>
    <row r="78" spans="1:6" ht="27.6">
      <c r="A78" s="18" t="s">
        <v>1796</v>
      </c>
      <c r="B78" s="19" t="s">
        <v>1797</v>
      </c>
      <c r="C78" s="18">
        <v>35</v>
      </c>
      <c r="D78" s="19" t="s">
        <v>1783</v>
      </c>
      <c r="E78" s="18" t="s">
        <v>1767</v>
      </c>
      <c r="F78" s="19" t="s">
        <v>1821</v>
      </c>
    </row>
    <row r="79" spans="1:6" ht="27.6">
      <c r="A79" s="18" t="s">
        <v>1796</v>
      </c>
      <c r="B79" s="19" t="s">
        <v>1797</v>
      </c>
      <c r="C79" s="18">
        <v>36</v>
      </c>
      <c r="D79" s="19" t="s">
        <v>1783</v>
      </c>
      <c r="E79" s="18" t="s">
        <v>1769</v>
      </c>
      <c r="F79" s="19" t="s">
        <v>1822</v>
      </c>
    </row>
    <row r="80" spans="1:6" ht="27.6">
      <c r="A80" s="18" t="s">
        <v>1796</v>
      </c>
      <c r="B80" s="19" t="s">
        <v>1797</v>
      </c>
      <c r="C80" s="18">
        <v>37</v>
      </c>
      <c r="D80" s="19" t="s">
        <v>1783</v>
      </c>
      <c r="E80" s="18" t="s">
        <v>1791</v>
      </c>
      <c r="F80" s="19" t="s">
        <v>1823</v>
      </c>
    </row>
    <row r="81" spans="1:6" ht="27.6">
      <c r="A81" s="18" t="s">
        <v>1796</v>
      </c>
      <c r="B81" s="19" t="s">
        <v>1797</v>
      </c>
      <c r="C81" s="18">
        <v>38</v>
      </c>
      <c r="D81" s="19" t="s">
        <v>1783</v>
      </c>
      <c r="E81" s="18" t="s">
        <v>1793</v>
      </c>
      <c r="F81" s="19" t="s">
        <v>1794</v>
      </c>
    </row>
    <row r="82" spans="1:6" ht="27.6">
      <c r="A82" s="18" t="s">
        <v>1796</v>
      </c>
      <c r="B82" s="19" t="s">
        <v>1797</v>
      </c>
      <c r="C82" s="18">
        <v>39</v>
      </c>
      <c r="D82" s="19" t="s">
        <v>1783</v>
      </c>
      <c r="E82" s="18" t="s">
        <v>1793</v>
      </c>
      <c r="F82" s="19" t="s">
        <v>1824</v>
      </c>
    </row>
    <row r="83" spans="1:6" ht="27.6">
      <c r="A83" s="16" t="s">
        <v>1825</v>
      </c>
      <c r="B83" s="17" t="s">
        <v>1826</v>
      </c>
      <c r="C83" s="16">
        <v>1</v>
      </c>
      <c r="D83" s="17"/>
      <c r="E83" s="16" t="s">
        <v>1740</v>
      </c>
      <c r="F83" s="17" t="s">
        <v>1827</v>
      </c>
    </row>
    <row r="84" spans="1:6" ht="27.6">
      <c r="A84" s="18" t="s">
        <v>1825</v>
      </c>
      <c r="B84" s="19" t="s">
        <v>1826</v>
      </c>
      <c r="C84" s="18">
        <v>2</v>
      </c>
      <c r="D84" s="19"/>
      <c r="E84" s="18" t="s">
        <v>1740</v>
      </c>
      <c r="F84" s="19" t="s">
        <v>1742</v>
      </c>
    </row>
    <row r="85" spans="1:6" ht="27.6">
      <c r="A85" s="18" t="s">
        <v>1825</v>
      </c>
      <c r="B85" s="19" t="s">
        <v>1826</v>
      </c>
      <c r="C85" s="18">
        <v>3</v>
      </c>
      <c r="D85" s="19"/>
      <c r="E85" s="18" t="s">
        <v>1740</v>
      </c>
      <c r="F85" s="19" t="s">
        <v>1828</v>
      </c>
    </row>
    <row r="86" spans="1:6" ht="27.6">
      <c r="A86" s="18" t="s">
        <v>1825</v>
      </c>
      <c r="B86" s="19" t="s">
        <v>1826</v>
      </c>
      <c r="C86" s="18">
        <v>4</v>
      </c>
      <c r="D86" s="19"/>
      <c r="E86" s="18" t="s">
        <v>1740</v>
      </c>
      <c r="F86" s="19" t="s">
        <v>1829</v>
      </c>
    </row>
    <row r="87" spans="1:6" ht="27.6">
      <c r="A87" s="18" t="s">
        <v>1825</v>
      </c>
      <c r="B87" s="19" t="s">
        <v>1826</v>
      </c>
      <c r="C87" s="18">
        <v>5</v>
      </c>
      <c r="D87" s="19"/>
      <c r="E87" s="18" t="s">
        <v>1740</v>
      </c>
      <c r="F87" s="19" t="s">
        <v>1830</v>
      </c>
    </row>
    <row r="88" spans="1:6" ht="27.6">
      <c r="A88" s="18" t="s">
        <v>1825</v>
      </c>
      <c r="B88" s="19" t="s">
        <v>1826</v>
      </c>
      <c r="C88" s="18">
        <v>6</v>
      </c>
      <c r="D88" s="19"/>
      <c r="E88" s="18" t="s">
        <v>1740</v>
      </c>
      <c r="F88" s="19" t="s">
        <v>1746</v>
      </c>
    </row>
    <row r="89" spans="1:6" ht="27.6">
      <c r="A89" s="18" t="s">
        <v>1825</v>
      </c>
      <c r="B89" s="19" t="s">
        <v>1826</v>
      </c>
      <c r="C89" s="18">
        <v>7</v>
      </c>
      <c r="D89" s="19" t="s">
        <v>1747</v>
      </c>
      <c r="E89" s="18" t="s">
        <v>1748</v>
      </c>
      <c r="F89" s="19" t="s">
        <v>1747</v>
      </c>
    </row>
    <row r="90" spans="1:6" ht="27.6">
      <c r="A90" s="18" t="s">
        <v>1825</v>
      </c>
      <c r="B90" s="19" t="s">
        <v>1826</v>
      </c>
      <c r="C90" s="18">
        <v>8</v>
      </c>
      <c r="D90" s="19" t="s">
        <v>1747</v>
      </c>
      <c r="E90" s="18" t="s">
        <v>1749</v>
      </c>
      <c r="F90" s="19" t="s">
        <v>1750</v>
      </c>
    </row>
    <row r="91" spans="1:6" ht="27.6">
      <c r="A91" s="18" t="s">
        <v>1825</v>
      </c>
      <c r="B91" s="19" t="s">
        <v>1826</v>
      </c>
      <c r="C91" s="18">
        <v>9</v>
      </c>
      <c r="D91" s="19" t="s">
        <v>1747</v>
      </c>
      <c r="E91" s="18" t="s">
        <v>1749</v>
      </c>
      <c r="F91" s="19" t="s">
        <v>1831</v>
      </c>
    </row>
    <row r="92" spans="1:6" ht="27.6">
      <c r="A92" s="18" t="s">
        <v>1825</v>
      </c>
      <c r="B92" s="19" t="s">
        <v>1826</v>
      </c>
      <c r="C92" s="18">
        <v>10</v>
      </c>
      <c r="D92" s="19" t="s">
        <v>1747</v>
      </c>
      <c r="E92" s="18" t="s">
        <v>1749</v>
      </c>
      <c r="F92" s="19" t="s">
        <v>1832</v>
      </c>
    </row>
    <row r="93" spans="1:6" ht="27.6">
      <c r="A93" s="18" t="s">
        <v>1825</v>
      </c>
      <c r="B93" s="19" t="s">
        <v>1826</v>
      </c>
      <c r="C93" s="18">
        <v>11</v>
      </c>
      <c r="D93" s="19" t="s">
        <v>1747</v>
      </c>
      <c r="E93" s="18" t="s">
        <v>1749</v>
      </c>
      <c r="F93" s="19" t="s">
        <v>1833</v>
      </c>
    </row>
    <row r="94" spans="1:6" ht="27.6">
      <c r="A94" s="18" t="s">
        <v>1825</v>
      </c>
      <c r="B94" s="19" t="s">
        <v>1826</v>
      </c>
      <c r="C94" s="18">
        <v>12</v>
      </c>
      <c r="D94" s="19" t="s">
        <v>1747</v>
      </c>
      <c r="E94" s="18" t="s">
        <v>1749</v>
      </c>
      <c r="F94" s="19" t="s">
        <v>1834</v>
      </c>
    </row>
    <row r="95" spans="1:6" ht="27.6">
      <c r="A95" s="18" t="s">
        <v>1825</v>
      </c>
      <c r="B95" s="19" t="s">
        <v>1826</v>
      </c>
      <c r="C95" s="18">
        <v>13</v>
      </c>
      <c r="D95" s="19" t="s">
        <v>1747</v>
      </c>
      <c r="E95" s="18" t="s">
        <v>1749</v>
      </c>
      <c r="F95" s="19" t="s">
        <v>1835</v>
      </c>
    </row>
    <row r="96" spans="1:6" ht="27.6">
      <c r="A96" s="18" t="s">
        <v>1825</v>
      </c>
      <c r="B96" s="19" t="s">
        <v>1826</v>
      </c>
      <c r="C96" s="18">
        <v>14</v>
      </c>
      <c r="D96" s="19" t="s">
        <v>1836</v>
      </c>
      <c r="E96" s="18" t="s">
        <v>1748</v>
      </c>
      <c r="F96" s="19" t="s">
        <v>1836</v>
      </c>
    </row>
    <row r="97" spans="1:6" ht="27.6">
      <c r="A97" s="18" t="s">
        <v>1825</v>
      </c>
      <c r="B97" s="19" t="s">
        <v>1826</v>
      </c>
      <c r="C97" s="18">
        <v>15</v>
      </c>
      <c r="D97" s="19" t="s">
        <v>1836</v>
      </c>
      <c r="E97" s="18" t="s">
        <v>1757</v>
      </c>
      <c r="F97" s="19" t="s">
        <v>1837</v>
      </c>
    </row>
    <row r="98" spans="1:6" ht="27.6">
      <c r="A98" s="18" t="s">
        <v>1825</v>
      </c>
      <c r="B98" s="19" t="s">
        <v>1826</v>
      </c>
      <c r="C98" s="18">
        <v>16</v>
      </c>
      <c r="D98" s="19" t="s">
        <v>1836</v>
      </c>
      <c r="E98" s="18" t="s">
        <v>1759</v>
      </c>
      <c r="F98" s="19" t="s">
        <v>1838</v>
      </c>
    </row>
    <row r="99" spans="1:6" ht="27.6">
      <c r="A99" s="18" t="s">
        <v>1825</v>
      </c>
      <c r="B99" s="19" t="s">
        <v>1826</v>
      </c>
      <c r="C99" s="18">
        <v>17</v>
      </c>
      <c r="D99" s="19" t="s">
        <v>1836</v>
      </c>
      <c r="E99" s="18" t="s">
        <v>1761</v>
      </c>
      <c r="F99" s="19" t="s">
        <v>1839</v>
      </c>
    </row>
    <row r="100" spans="1:6" ht="27.6">
      <c r="A100" s="18" t="s">
        <v>1825</v>
      </c>
      <c r="B100" s="19" t="s">
        <v>1826</v>
      </c>
      <c r="C100" s="18">
        <v>18</v>
      </c>
      <c r="D100" s="19" t="s">
        <v>1836</v>
      </c>
      <c r="E100" s="18" t="s">
        <v>1763</v>
      </c>
      <c r="F100" s="19" t="s">
        <v>1840</v>
      </c>
    </row>
    <row r="101" spans="1:6" ht="27.6">
      <c r="A101" s="18" t="s">
        <v>1825</v>
      </c>
      <c r="B101" s="19" t="s">
        <v>1826</v>
      </c>
      <c r="C101" s="18">
        <v>19</v>
      </c>
      <c r="D101" s="19" t="s">
        <v>1836</v>
      </c>
      <c r="E101" s="18" t="s">
        <v>1765</v>
      </c>
      <c r="F101" s="19" t="s">
        <v>1766</v>
      </c>
    </row>
    <row r="102" spans="1:6" ht="27.6">
      <c r="A102" s="18" t="s">
        <v>1825</v>
      </c>
      <c r="B102" s="19" t="s">
        <v>1826</v>
      </c>
      <c r="C102" s="18">
        <v>20</v>
      </c>
      <c r="D102" s="19" t="s">
        <v>1836</v>
      </c>
      <c r="E102" s="18" t="s">
        <v>1767</v>
      </c>
      <c r="F102" s="19" t="s">
        <v>1768</v>
      </c>
    </row>
    <row r="103" spans="1:6" ht="27.6">
      <c r="A103" s="18" t="s">
        <v>1825</v>
      </c>
      <c r="B103" s="19" t="s">
        <v>1826</v>
      </c>
      <c r="C103" s="18">
        <v>21</v>
      </c>
      <c r="D103" s="19" t="s">
        <v>1836</v>
      </c>
      <c r="E103" s="18" t="s">
        <v>1769</v>
      </c>
      <c r="F103" s="19" t="s">
        <v>1841</v>
      </c>
    </row>
    <row r="104" spans="1:6" ht="27.6">
      <c r="A104" s="18" t="s">
        <v>1825</v>
      </c>
      <c r="B104" s="19" t="s">
        <v>1826</v>
      </c>
      <c r="C104" s="18">
        <v>22</v>
      </c>
      <c r="D104" s="19" t="s">
        <v>1836</v>
      </c>
      <c r="E104" s="18" t="s">
        <v>1771</v>
      </c>
      <c r="F104" s="19" t="s">
        <v>1772</v>
      </c>
    </row>
    <row r="105" spans="1:6" ht="27.6">
      <c r="A105" s="18" t="s">
        <v>1825</v>
      </c>
      <c r="B105" s="19" t="s">
        <v>1826</v>
      </c>
      <c r="C105" s="18">
        <v>23</v>
      </c>
      <c r="D105" s="19" t="s">
        <v>1836</v>
      </c>
      <c r="E105" s="18" t="s">
        <v>1773</v>
      </c>
      <c r="F105" s="19" t="s">
        <v>1774</v>
      </c>
    </row>
    <row r="106" spans="1:6" ht="27.6">
      <c r="A106" s="18" t="s">
        <v>1825</v>
      </c>
      <c r="B106" s="19" t="s">
        <v>1826</v>
      </c>
      <c r="C106" s="18">
        <v>24</v>
      </c>
      <c r="D106" s="19" t="s">
        <v>1836</v>
      </c>
      <c r="E106" s="18" t="s">
        <v>1775</v>
      </c>
      <c r="F106" s="19" t="s">
        <v>1776</v>
      </c>
    </row>
    <row r="107" spans="1:6" ht="27.6">
      <c r="A107" s="18" t="s">
        <v>1825</v>
      </c>
      <c r="B107" s="19" t="s">
        <v>1826</v>
      </c>
      <c r="C107" s="18">
        <v>25</v>
      </c>
      <c r="D107" s="19" t="s">
        <v>1777</v>
      </c>
      <c r="E107" s="18" t="s">
        <v>1748</v>
      </c>
      <c r="F107" s="19" t="s">
        <v>1777</v>
      </c>
    </row>
    <row r="108" spans="1:6" ht="27.6">
      <c r="A108" s="18" t="s">
        <v>1825</v>
      </c>
      <c r="B108" s="19" t="s">
        <v>1826</v>
      </c>
      <c r="C108" s="18">
        <v>26</v>
      </c>
      <c r="D108" s="19" t="s">
        <v>1777</v>
      </c>
      <c r="E108" s="18" t="s">
        <v>1778</v>
      </c>
      <c r="F108" s="19" t="s">
        <v>1842</v>
      </c>
    </row>
    <row r="109" spans="1:6" ht="27.6">
      <c r="A109" s="18" t="s">
        <v>1825</v>
      </c>
      <c r="B109" s="19" t="s">
        <v>1826</v>
      </c>
      <c r="C109" s="18">
        <v>27</v>
      </c>
      <c r="D109" s="19" t="s">
        <v>1777</v>
      </c>
      <c r="E109" s="18" t="s">
        <v>1780</v>
      </c>
      <c r="F109" s="19" t="s">
        <v>1781</v>
      </c>
    </row>
    <row r="110" spans="1:6" ht="27.6">
      <c r="A110" s="18" t="s">
        <v>1825</v>
      </c>
      <c r="B110" s="19" t="s">
        <v>1826</v>
      </c>
      <c r="C110" s="18">
        <v>28</v>
      </c>
      <c r="D110" s="19" t="s">
        <v>1777</v>
      </c>
      <c r="E110" s="18" t="s">
        <v>1757</v>
      </c>
      <c r="F110" s="19" t="s">
        <v>1843</v>
      </c>
    </row>
    <row r="111" spans="1:6" ht="27.6">
      <c r="A111" s="18" t="s">
        <v>1825</v>
      </c>
      <c r="B111" s="19" t="s">
        <v>1826</v>
      </c>
      <c r="C111" s="18">
        <v>29</v>
      </c>
      <c r="D111" s="19" t="s">
        <v>1844</v>
      </c>
      <c r="E111" s="18" t="s">
        <v>1748</v>
      </c>
      <c r="F111" s="19" t="s">
        <v>1844</v>
      </c>
    </row>
    <row r="112" spans="1:6" ht="27.6">
      <c r="A112" s="18" t="s">
        <v>1825</v>
      </c>
      <c r="B112" s="19" t="s">
        <v>1826</v>
      </c>
      <c r="C112" s="18">
        <v>30</v>
      </c>
      <c r="D112" s="19" t="s">
        <v>1844</v>
      </c>
      <c r="E112" s="18" t="s">
        <v>1845</v>
      </c>
      <c r="F112" s="19" t="s">
        <v>1846</v>
      </c>
    </row>
    <row r="113" spans="1:6" ht="27.6">
      <c r="A113" s="18" t="s">
        <v>1825</v>
      </c>
      <c r="B113" s="19" t="s">
        <v>1826</v>
      </c>
      <c r="C113" s="18">
        <v>31</v>
      </c>
      <c r="D113" s="19" t="s">
        <v>1844</v>
      </c>
      <c r="E113" s="18" t="s">
        <v>1845</v>
      </c>
      <c r="F113" s="19" t="s">
        <v>1847</v>
      </c>
    </row>
    <row r="114" spans="1:6" ht="27.6">
      <c r="A114" s="18" t="s">
        <v>1825</v>
      </c>
      <c r="B114" s="19" t="s">
        <v>1826</v>
      </c>
      <c r="C114" s="18">
        <v>32</v>
      </c>
      <c r="D114" s="19" t="s">
        <v>1844</v>
      </c>
      <c r="E114" s="18" t="s">
        <v>1845</v>
      </c>
      <c r="F114" s="19" t="s">
        <v>1848</v>
      </c>
    </row>
    <row r="115" spans="1:6" ht="27.6">
      <c r="A115" s="18" t="s">
        <v>1825</v>
      </c>
      <c r="B115" s="19" t="s">
        <v>1826</v>
      </c>
      <c r="C115" s="18">
        <v>33</v>
      </c>
      <c r="D115" s="19" t="s">
        <v>1844</v>
      </c>
      <c r="E115" s="18" t="s">
        <v>1845</v>
      </c>
      <c r="F115" s="19" t="s">
        <v>1849</v>
      </c>
    </row>
    <row r="116" spans="1:6" ht="27.6">
      <c r="A116" s="18" t="s">
        <v>1825</v>
      </c>
      <c r="B116" s="19" t="s">
        <v>1826</v>
      </c>
      <c r="C116" s="18">
        <v>34</v>
      </c>
      <c r="D116" s="19" t="s">
        <v>1844</v>
      </c>
      <c r="E116" s="18" t="s">
        <v>1845</v>
      </c>
      <c r="F116" s="19" t="s">
        <v>1850</v>
      </c>
    </row>
    <row r="117" spans="1:6" ht="27.6">
      <c r="A117" s="18" t="s">
        <v>1825</v>
      </c>
      <c r="B117" s="19" t="s">
        <v>1826</v>
      </c>
      <c r="C117" s="18">
        <v>35</v>
      </c>
      <c r="D117" s="19" t="s">
        <v>1844</v>
      </c>
      <c r="E117" s="18" t="s">
        <v>1845</v>
      </c>
      <c r="F117" s="19" t="s">
        <v>1851</v>
      </c>
    </row>
    <row r="118" spans="1:6" ht="27.6">
      <c r="A118" s="18" t="s">
        <v>1825</v>
      </c>
      <c r="B118" s="19" t="s">
        <v>1826</v>
      </c>
      <c r="C118" s="18">
        <v>36</v>
      </c>
      <c r="D118" s="19" t="s">
        <v>1844</v>
      </c>
      <c r="E118" s="18" t="s">
        <v>1845</v>
      </c>
      <c r="F118" s="19" t="s">
        <v>1852</v>
      </c>
    </row>
    <row r="119" spans="1:6" ht="27.6">
      <c r="A119" s="18" t="s">
        <v>1825</v>
      </c>
      <c r="B119" s="19" t="s">
        <v>1826</v>
      </c>
      <c r="C119" s="18">
        <v>37</v>
      </c>
      <c r="D119" s="19" t="s">
        <v>1844</v>
      </c>
      <c r="E119" s="18" t="s">
        <v>1845</v>
      </c>
      <c r="F119" s="19" t="s">
        <v>1853</v>
      </c>
    </row>
    <row r="120" spans="1:6" ht="27.6">
      <c r="A120" s="18" t="s">
        <v>1825</v>
      </c>
      <c r="B120" s="19" t="s">
        <v>1826</v>
      </c>
      <c r="C120" s="18">
        <v>38</v>
      </c>
      <c r="D120" s="19" t="s">
        <v>1844</v>
      </c>
      <c r="E120" s="18" t="s">
        <v>1845</v>
      </c>
      <c r="F120" s="19" t="s">
        <v>1854</v>
      </c>
    </row>
    <row r="121" spans="1:6" ht="27.6">
      <c r="A121" s="16" t="s">
        <v>1855</v>
      </c>
      <c r="B121" s="17" t="s">
        <v>1856</v>
      </c>
      <c r="C121" s="16">
        <v>1</v>
      </c>
      <c r="D121" s="17"/>
      <c r="E121" s="16" t="s">
        <v>1740</v>
      </c>
      <c r="F121" s="17" t="s">
        <v>1857</v>
      </c>
    </row>
    <row r="122" spans="1:6" ht="27.6">
      <c r="A122" s="18" t="s">
        <v>1855</v>
      </c>
      <c r="B122" s="19" t="s">
        <v>1856</v>
      </c>
      <c r="C122" s="18">
        <v>2</v>
      </c>
      <c r="D122" s="19"/>
      <c r="E122" s="18" t="s">
        <v>1740</v>
      </c>
      <c r="F122" s="19" t="s">
        <v>1742</v>
      </c>
    </row>
    <row r="123" spans="1:6" ht="27.6">
      <c r="A123" s="18" t="s">
        <v>1855</v>
      </c>
      <c r="B123" s="19" t="s">
        <v>1856</v>
      </c>
      <c r="C123" s="18">
        <v>3</v>
      </c>
      <c r="D123" s="19"/>
      <c r="E123" s="18" t="s">
        <v>1740</v>
      </c>
      <c r="F123" s="19" t="s">
        <v>1828</v>
      </c>
    </row>
    <row r="124" spans="1:6" ht="27.6">
      <c r="A124" s="18" t="s">
        <v>1855</v>
      </c>
      <c r="B124" s="19" t="s">
        <v>1856</v>
      </c>
      <c r="C124" s="18">
        <v>4</v>
      </c>
      <c r="D124" s="19"/>
      <c r="E124" s="18" t="s">
        <v>1740</v>
      </c>
      <c r="F124" s="19" t="s">
        <v>1858</v>
      </c>
    </row>
    <row r="125" spans="1:6" ht="27.6">
      <c r="A125" s="18" t="s">
        <v>1855</v>
      </c>
      <c r="B125" s="19" t="s">
        <v>1856</v>
      </c>
      <c r="C125" s="18">
        <v>5</v>
      </c>
      <c r="D125" s="19"/>
      <c r="E125" s="18" t="s">
        <v>1740</v>
      </c>
      <c r="F125" s="19" t="s">
        <v>1859</v>
      </c>
    </row>
    <row r="126" spans="1:6" ht="27.6">
      <c r="A126" s="18" t="s">
        <v>1855</v>
      </c>
      <c r="B126" s="19" t="s">
        <v>1856</v>
      </c>
      <c r="C126" s="18">
        <v>6</v>
      </c>
      <c r="D126" s="19"/>
      <c r="E126" s="18" t="s">
        <v>1740</v>
      </c>
      <c r="F126" s="19" t="s">
        <v>1746</v>
      </c>
    </row>
    <row r="127" spans="1:6" ht="27.6">
      <c r="A127" s="18" t="s">
        <v>1855</v>
      </c>
      <c r="B127" s="19" t="s">
        <v>1856</v>
      </c>
      <c r="C127" s="18">
        <v>7</v>
      </c>
      <c r="D127" s="19" t="s">
        <v>1747</v>
      </c>
      <c r="E127" s="18" t="s">
        <v>1748</v>
      </c>
      <c r="F127" s="19" t="s">
        <v>1747</v>
      </c>
    </row>
    <row r="128" spans="1:6" ht="27.6">
      <c r="A128" s="18" t="s">
        <v>1855</v>
      </c>
      <c r="B128" s="19" t="s">
        <v>1856</v>
      </c>
      <c r="C128" s="18">
        <v>8</v>
      </c>
      <c r="D128" s="19" t="s">
        <v>1747</v>
      </c>
      <c r="E128" s="18" t="s">
        <v>1749</v>
      </c>
      <c r="F128" s="19" t="s">
        <v>1750</v>
      </c>
    </row>
    <row r="129" spans="1:6" ht="27.6">
      <c r="A129" s="18" t="s">
        <v>1855</v>
      </c>
      <c r="B129" s="19" t="s">
        <v>1856</v>
      </c>
      <c r="C129" s="18">
        <v>9</v>
      </c>
      <c r="D129" s="19" t="s">
        <v>1747</v>
      </c>
      <c r="E129" s="18" t="s">
        <v>1749</v>
      </c>
      <c r="F129" s="19" t="s">
        <v>1860</v>
      </c>
    </row>
    <row r="130" spans="1:6" ht="27.6">
      <c r="A130" s="18" t="s">
        <v>1855</v>
      </c>
      <c r="B130" s="19" t="s">
        <v>1856</v>
      </c>
      <c r="C130" s="18">
        <v>10</v>
      </c>
      <c r="D130" s="19" t="s">
        <v>1747</v>
      </c>
      <c r="E130" s="18" t="s">
        <v>1749</v>
      </c>
      <c r="F130" s="19" t="s">
        <v>1861</v>
      </c>
    </row>
    <row r="131" spans="1:6" ht="27.6">
      <c r="A131" s="18" t="s">
        <v>1855</v>
      </c>
      <c r="B131" s="19" t="s">
        <v>1856</v>
      </c>
      <c r="C131" s="18">
        <v>11</v>
      </c>
      <c r="D131" s="19" t="s">
        <v>1747</v>
      </c>
      <c r="E131" s="18" t="s">
        <v>1749</v>
      </c>
      <c r="F131" s="19" t="s">
        <v>1862</v>
      </c>
    </row>
    <row r="132" spans="1:6" ht="27.6">
      <c r="A132" s="18" t="s">
        <v>1855</v>
      </c>
      <c r="B132" s="19" t="s">
        <v>1856</v>
      </c>
      <c r="C132" s="18">
        <v>12</v>
      </c>
      <c r="D132" s="19" t="s">
        <v>1747</v>
      </c>
      <c r="E132" s="18" t="s">
        <v>1749</v>
      </c>
      <c r="F132" s="19" t="s">
        <v>1863</v>
      </c>
    </row>
    <row r="133" spans="1:6" ht="27.6">
      <c r="A133" s="18" t="s">
        <v>1855</v>
      </c>
      <c r="B133" s="19" t="s">
        <v>1856</v>
      </c>
      <c r="C133" s="18">
        <v>13</v>
      </c>
      <c r="D133" s="19" t="s">
        <v>1747</v>
      </c>
      <c r="E133" s="18" t="s">
        <v>1749</v>
      </c>
      <c r="F133" s="19" t="s">
        <v>1864</v>
      </c>
    </row>
    <row r="134" spans="1:6" ht="27.6">
      <c r="A134" s="18" t="s">
        <v>1855</v>
      </c>
      <c r="B134" s="19" t="s">
        <v>1856</v>
      </c>
      <c r="C134" s="18">
        <v>14</v>
      </c>
      <c r="D134" s="19" t="s">
        <v>1865</v>
      </c>
      <c r="E134" s="18" t="s">
        <v>1748</v>
      </c>
      <c r="F134" s="19" t="s">
        <v>1865</v>
      </c>
    </row>
    <row r="135" spans="1:6" ht="27.6">
      <c r="A135" s="18" t="s">
        <v>1855</v>
      </c>
      <c r="B135" s="19" t="s">
        <v>1856</v>
      </c>
      <c r="C135" s="18">
        <v>15</v>
      </c>
      <c r="D135" s="19" t="s">
        <v>1865</v>
      </c>
      <c r="E135" s="18" t="s">
        <v>1757</v>
      </c>
      <c r="F135" s="19" t="s">
        <v>1866</v>
      </c>
    </row>
    <row r="136" spans="1:6" ht="27.6">
      <c r="A136" s="18" t="s">
        <v>1855</v>
      </c>
      <c r="B136" s="19" t="s">
        <v>1856</v>
      </c>
      <c r="C136" s="18">
        <v>16</v>
      </c>
      <c r="D136" s="19" t="s">
        <v>1865</v>
      </c>
      <c r="E136" s="18" t="s">
        <v>1759</v>
      </c>
      <c r="F136" s="19" t="s">
        <v>1867</v>
      </c>
    </row>
    <row r="137" spans="1:6" ht="27.6">
      <c r="A137" s="18" t="s">
        <v>1855</v>
      </c>
      <c r="B137" s="19" t="s">
        <v>1856</v>
      </c>
      <c r="C137" s="18">
        <v>17</v>
      </c>
      <c r="D137" s="19" t="s">
        <v>1865</v>
      </c>
      <c r="E137" s="18" t="s">
        <v>1761</v>
      </c>
      <c r="F137" s="19" t="s">
        <v>1868</v>
      </c>
    </row>
    <row r="138" spans="1:6" ht="27.6">
      <c r="A138" s="18" t="s">
        <v>1855</v>
      </c>
      <c r="B138" s="19" t="s">
        <v>1856</v>
      </c>
      <c r="C138" s="18">
        <v>18</v>
      </c>
      <c r="D138" s="19" t="s">
        <v>1865</v>
      </c>
      <c r="E138" s="18" t="s">
        <v>1763</v>
      </c>
      <c r="F138" s="19" t="s">
        <v>1869</v>
      </c>
    </row>
    <row r="139" spans="1:6" ht="27.6">
      <c r="A139" s="18" t="s">
        <v>1855</v>
      </c>
      <c r="B139" s="19" t="s">
        <v>1856</v>
      </c>
      <c r="C139" s="18">
        <v>19</v>
      </c>
      <c r="D139" s="19" t="s">
        <v>1865</v>
      </c>
      <c r="E139" s="18" t="s">
        <v>1765</v>
      </c>
      <c r="F139" s="19" t="s">
        <v>1766</v>
      </c>
    </row>
    <row r="140" spans="1:6" ht="27.6">
      <c r="A140" s="18" t="s">
        <v>1855</v>
      </c>
      <c r="B140" s="19" t="s">
        <v>1856</v>
      </c>
      <c r="C140" s="18">
        <v>20</v>
      </c>
      <c r="D140" s="19" t="s">
        <v>1865</v>
      </c>
      <c r="E140" s="18" t="s">
        <v>1767</v>
      </c>
      <c r="F140" s="19" t="s">
        <v>1870</v>
      </c>
    </row>
    <row r="141" spans="1:6" ht="27.6">
      <c r="A141" s="18" t="s">
        <v>1855</v>
      </c>
      <c r="B141" s="19" t="s">
        <v>1856</v>
      </c>
      <c r="C141" s="18">
        <v>21</v>
      </c>
      <c r="D141" s="19" t="s">
        <v>1865</v>
      </c>
      <c r="E141" s="18" t="s">
        <v>1769</v>
      </c>
      <c r="F141" s="19" t="s">
        <v>1871</v>
      </c>
    </row>
    <row r="142" spans="1:6" ht="27.6">
      <c r="A142" s="18" t="s">
        <v>1855</v>
      </c>
      <c r="B142" s="19" t="s">
        <v>1856</v>
      </c>
      <c r="C142" s="18">
        <v>22</v>
      </c>
      <c r="D142" s="19" t="s">
        <v>1865</v>
      </c>
      <c r="E142" s="18" t="s">
        <v>1771</v>
      </c>
      <c r="F142" s="19" t="s">
        <v>1872</v>
      </c>
    </row>
    <row r="143" spans="1:6" ht="27.6">
      <c r="A143" s="18" t="s">
        <v>1855</v>
      </c>
      <c r="B143" s="19" t="s">
        <v>1856</v>
      </c>
      <c r="C143" s="18">
        <v>23</v>
      </c>
      <c r="D143" s="19" t="s">
        <v>1865</v>
      </c>
      <c r="E143" s="18" t="s">
        <v>1773</v>
      </c>
      <c r="F143" s="19" t="s">
        <v>1873</v>
      </c>
    </row>
    <row r="144" spans="1:6" ht="27.6">
      <c r="A144" s="18" t="s">
        <v>1855</v>
      </c>
      <c r="B144" s="19" t="s">
        <v>1856</v>
      </c>
      <c r="C144" s="18">
        <v>24</v>
      </c>
      <c r="D144" s="19" t="s">
        <v>1865</v>
      </c>
      <c r="E144" s="18" t="s">
        <v>1775</v>
      </c>
      <c r="F144" s="19" t="s">
        <v>1874</v>
      </c>
    </row>
    <row r="145" spans="1:6" ht="27.6">
      <c r="A145" s="18" t="s">
        <v>1855</v>
      </c>
      <c r="B145" s="19" t="s">
        <v>1856</v>
      </c>
      <c r="C145" s="18">
        <v>25</v>
      </c>
      <c r="D145" s="19" t="s">
        <v>1777</v>
      </c>
      <c r="E145" s="18" t="s">
        <v>1748</v>
      </c>
      <c r="F145" s="19" t="s">
        <v>1777</v>
      </c>
    </row>
    <row r="146" spans="1:6" ht="27.6">
      <c r="A146" s="18" t="s">
        <v>1855</v>
      </c>
      <c r="B146" s="19" t="s">
        <v>1856</v>
      </c>
      <c r="C146" s="18">
        <v>26</v>
      </c>
      <c r="D146" s="19" t="s">
        <v>1777</v>
      </c>
      <c r="E146" s="18" t="s">
        <v>1778</v>
      </c>
      <c r="F146" s="19" t="s">
        <v>1875</v>
      </c>
    </row>
    <row r="147" spans="1:6" ht="27.6">
      <c r="A147" s="18" t="s">
        <v>1855</v>
      </c>
      <c r="B147" s="19" t="s">
        <v>1856</v>
      </c>
      <c r="C147" s="18">
        <v>27</v>
      </c>
      <c r="D147" s="19" t="s">
        <v>1777</v>
      </c>
      <c r="E147" s="18" t="s">
        <v>1780</v>
      </c>
      <c r="F147" s="19" t="s">
        <v>1781</v>
      </c>
    </row>
    <row r="148" spans="1:6" ht="27.6">
      <c r="A148" s="18" t="s">
        <v>1855</v>
      </c>
      <c r="B148" s="19" t="s">
        <v>1856</v>
      </c>
      <c r="C148" s="18">
        <v>28</v>
      </c>
      <c r="D148" s="19" t="s">
        <v>1777</v>
      </c>
      <c r="E148" s="18" t="s">
        <v>1757</v>
      </c>
      <c r="F148" s="19" t="s">
        <v>1876</v>
      </c>
    </row>
    <row r="149" spans="1:6" ht="27.6">
      <c r="A149" s="18" t="s">
        <v>1855</v>
      </c>
      <c r="B149" s="19" t="s">
        <v>1856</v>
      </c>
      <c r="C149" s="18">
        <v>29</v>
      </c>
      <c r="D149" s="19" t="s">
        <v>1777</v>
      </c>
      <c r="E149" s="18" t="s">
        <v>1759</v>
      </c>
      <c r="F149" s="19" t="s">
        <v>1877</v>
      </c>
    </row>
    <row r="150" spans="1:6" ht="27.6">
      <c r="A150" s="18" t="s">
        <v>1855</v>
      </c>
      <c r="B150" s="19" t="s">
        <v>1856</v>
      </c>
      <c r="C150" s="18">
        <v>30</v>
      </c>
      <c r="D150" s="19" t="s">
        <v>1844</v>
      </c>
      <c r="E150" s="18" t="s">
        <v>1748</v>
      </c>
      <c r="F150" s="19" t="s">
        <v>1844</v>
      </c>
    </row>
    <row r="151" spans="1:6" ht="27.6">
      <c r="A151" s="18" t="s">
        <v>1855</v>
      </c>
      <c r="B151" s="19" t="s">
        <v>1856</v>
      </c>
      <c r="C151" s="18">
        <v>31</v>
      </c>
      <c r="D151" s="19" t="s">
        <v>1844</v>
      </c>
      <c r="E151" s="18" t="s">
        <v>1845</v>
      </c>
      <c r="F151" s="19" t="s">
        <v>1846</v>
      </c>
    </row>
    <row r="152" spans="1:6" ht="27.6">
      <c r="A152" s="18" t="s">
        <v>1855</v>
      </c>
      <c r="B152" s="19" t="s">
        <v>1856</v>
      </c>
      <c r="C152" s="18">
        <v>32</v>
      </c>
      <c r="D152" s="19" t="s">
        <v>1844</v>
      </c>
      <c r="E152" s="18" t="s">
        <v>1845</v>
      </c>
      <c r="F152" s="19" t="s">
        <v>1878</v>
      </c>
    </row>
    <row r="153" spans="1:6" ht="27.6">
      <c r="A153" s="18" t="s">
        <v>1855</v>
      </c>
      <c r="B153" s="19" t="s">
        <v>1856</v>
      </c>
      <c r="C153" s="18">
        <v>33</v>
      </c>
      <c r="D153" s="19" t="s">
        <v>1844</v>
      </c>
      <c r="E153" s="18" t="s">
        <v>1845</v>
      </c>
      <c r="F153" s="19" t="s">
        <v>1879</v>
      </c>
    </row>
    <row r="154" spans="1:6" ht="27.6">
      <c r="A154" s="18" t="s">
        <v>1855</v>
      </c>
      <c r="B154" s="19" t="s">
        <v>1856</v>
      </c>
      <c r="C154" s="18">
        <v>34</v>
      </c>
      <c r="D154" s="19" t="s">
        <v>1844</v>
      </c>
      <c r="E154" s="18" t="s">
        <v>1845</v>
      </c>
      <c r="F154" s="19" t="s">
        <v>1880</v>
      </c>
    </row>
    <row r="155" spans="1:6" ht="27.6">
      <c r="A155" s="18" t="s">
        <v>1855</v>
      </c>
      <c r="B155" s="19" t="s">
        <v>1856</v>
      </c>
      <c r="C155" s="18">
        <v>35</v>
      </c>
      <c r="D155" s="19" t="s">
        <v>1844</v>
      </c>
      <c r="E155" s="18" t="s">
        <v>1845</v>
      </c>
      <c r="F155" s="19" t="s">
        <v>1881</v>
      </c>
    </row>
    <row r="156" spans="1:6" ht="27.6">
      <c r="A156" s="18" t="s">
        <v>1855</v>
      </c>
      <c r="B156" s="19" t="s">
        <v>1856</v>
      </c>
      <c r="C156" s="18">
        <v>36</v>
      </c>
      <c r="D156" s="19" t="s">
        <v>1844</v>
      </c>
      <c r="E156" s="18" t="s">
        <v>1845</v>
      </c>
      <c r="F156" s="19" t="s">
        <v>1882</v>
      </c>
    </row>
    <row r="157" spans="1:6" ht="27.6">
      <c r="A157" s="18" t="s">
        <v>1855</v>
      </c>
      <c r="B157" s="19" t="s">
        <v>1856</v>
      </c>
      <c r="C157" s="18">
        <v>37</v>
      </c>
      <c r="D157" s="19" t="s">
        <v>1844</v>
      </c>
      <c r="E157" s="18" t="s">
        <v>1845</v>
      </c>
      <c r="F157" s="19" t="s">
        <v>1852</v>
      </c>
    </row>
    <row r="158" spans="1:6" ht="27.6">
      <c r="A158" s="18" t="s">
        <v>1855</v>
      </c>
      <c r="B158" s="19" t="s">
        <v>1856</v>
      </c>
      <c r="C158" s="18">
        <v>38</v>
      </c>
      <c r="D158" s="19" t="s">
        <v>1844</v>
      </c>
      <c r="E158" s="18" t="s">
        <v>1845</v>
      </c>
      <c r="F158" s="19" t="s">
        <v>1854</v>
      </c>
    </row>
    <row r="159" spans="1:6" ht="27.6">
      <c r="A159" s="18" t="s">
        <v>1855</v>
      </c>
      <c r="B159" s="19" t="s">
        <v>1856</v>
      </c>
      <c r="C159" s="18">
        <v>39</v>
      </c>
      <c r="D159" s="19" t="s">
        <v>1844</v>
      </c>
      <c r="E159" s="18" t="s">
        <v>1845</v>
      </c>
      <c r="F159" s="19" t="s">
        <v>1883</v>
      </c>
    </row>
  </sheetData>
  <autoFilter ref="A4:F159" xr:uid="{00000000-0009-0000-0000-000006000000}"/>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F116"/>
  <sheetViews>
    <sheetView showGridLines="0" tabSelected="1" workbookViewId="0">
      <pane ySplit="4" topLeftCell="A5" activePane="bottomLeft" state="frozen"/>
      <selection pane="bottomLeft" activeCell="F15" sqref="F15"/>
    </sheetView>
  </sheetViews>
  <sheetFormatPr defaultRowHeight="14.4"/>
  <cols>
    <col min="1" max="1" width="11.77734375" style="2" bestFit="1" customWidth="1"/>
    <col min="2" max="2" width="42" style="2" customWidth="1"/>
    <col min="3" max="3" width="13.77734375" style="2" bestFit="1" customWidth="1"/>
    <col min="4" max="4" width="33.21875" style="2" bestFit="1" customWidth="1"/>
    <col min="5" max="5" width="11.21875" style="2" bestFit="1" customWidth="1"/>
    <col min="6" max="6" width="110" style="2" customWidth="1"/>
  </cols>
  <sheetData>
    <row r="1" spans="1:6" ht="15.6">
      <c r="A1" s="22" t="s">
        <v>1884</v>
      </c>
      <c r="B1" s="20"/>
      <c r="C1" s="20"/>
      <c r="D1" s="20"/>
      <c r="E1" s="20"/>
      <c r="F1" s="20"/>
    </row>
    <row r="2" spans="1:6">
      <c r="A2" s="21" t="s">
        <v>1885</v>
      </c>
      <c r="B2" s="20"/>
      <c r="C2" s="20"/>
      <c r="D2" s="20"/>
      <c r="E2" s="20"/>
      <c r="F2" s="20"/>
    </row>
    <row r="4" spans="1:6">
      <c r="A4" s="15" t="s">
        <v>1733</v>
      </c>
      <c r="B4" s="15" t="s">
        <v>1734</v>
      </c>
      <c r="C4" s="15" t="s">
        <v>1735</v>
      </c>
      <c r="D4" s="15" t="s">
        <v>1736</v>
      </c>
      <c r="E4" s="15" t="s">
        <v>1536</v>
      </c>
      <c r="F4" s="15" t="s">
        <v>1737</v>
      </c>
    </row>
    <row r="5" spans="1:6">
      <c r="A5" s="16" t="s">
        <v>1683</v>
      </c>
      <c r="B5" s="17" t="s">
        <v>1886</v>
      </c>
      <c r="C5" s="16">
        <v>1</v>
      </c>
      <c r="D5" s="17"/>
      <c r="E5" s="16" t="s">
        <v>1740</v>
      </c>
      <c r="F5" s="17" t="s">
        <v>1887</v>
      </c>
    </row>
    <row r="6" spans="1:6">
      <c r="A6" s="18" t="s">
        <v>1683</v>
      </c>
      <c r="B6" s="19" t="s">
        <v>1886</v>
      </c>
      <c r="C6" s="18">
        <v>2</v>
      </c>
      <c r="D6" s="19"/>
      <c r="E6" s="18" t="s">
        <v>1740</v>
      </c>
      <c r="F6" s="19" t="s">
        <v>1888</v>
      </c>
    </row>
    <row r="7" spans="1:6">
      <c r="A7" s="18" t="s">
        <v>1683</v>
      </c>
      <c r="B7" s="19" t="s">
        <v>1886</v>
      </c>
      <c r="C7" s="18">
        <v>3</v>
      </c>
      <c r="D7" s="19"/>
      <c r="E7" s="18" t="s">
        <v>1740</v>
      </c>
      <c r="F7" s="19" t="s">
        <v>1889</v>
      </c>
    </row>
    <row r="8" spans="1:6">
      <c r="A8" s="18" t="s">
        <v>1683</v>
      </c>
      <c r="B8" s="19" t="s">
        <v>1886</v>
      </c>
      <c r="C8" s="18">
        <v>4</v>
      </c>
      <c r="D8" s="19" t="s">
        <v>1890</v>
      </c>
      <c r="E8" s="18" t="s">
        <v>1748</v>
      </c>
      <c r="F8" s="19" t="s">
        <v>1890</v>
      </c>
    </row>
    <row r="9" spans="1:6">
      <c r="A9" s="18" t="s">
        <v>1683</v>
      </c>
      <c r="B9" s="19" t="s">
        <v>1886</v>
      </c>
      <c r="C9" s="18">
        <v>5</v>
      </c>
      <c r="D9" s="19" t="s">
        <v>1890</v>
      </c>
      <c r="E9" s="18" t="s">
        <v>1891</v>
      </c>
      <c r="F9" s="19" t="s">
        <v>1892</v>
      </c>
    </row>
    <row r="10" spans="1:6">
      <c r="A10" s="18" t="s">
        <v>1683</v>
      </c>
      <c r="B10" s="19" t="s">
        <v>1886</v>
      </c>
      <c r="C10" s="18">
        <v>6</v>
      </c>
      <c r="D10" s="19" t="s">
        <v>1890</v>
      </c>
      <c r="E10" s="18" t="s">
        <v>1893</v>
      </c>
      <c r="F10" s="19" t="s">
        <v>1894</v>
      </c>
    </row>
    <row r="11" spans="1:6">
      <c r="A11" s="18" t="s">
        <v>1683</v>
      </c>
      <c r="B11" s="19" t="s">
        <v>1886</v>
      </c>
      <c r="C11" s="18">
        <v>7</v>
      </c>
      <c r="D11" s="19" t="s">
        <v>1890</v>
      </c>
      <c r="E11" s="18" t="s">
        <v>1895</v>
      </c>
      <c r="F11" s="19" t="s">
        <v>1896</v>
      </c>
    </row>
    <row r="12" spans="1:6">
      <c r="A12" s="18" t="s">
        <v>1683</v>
      </c>
      <c r="B12" s="19" t="s">
        <v>1886</v>
      </c>
      <c r="C12" s="18">
        <v>8</v>
      </c>
      <c r="D12" s="19" t="s">
        <v>1890</v>
      </c>
      <c r="E12" s="18" t="s">
        <v>1897</v>
      </c>
      <c r="F12" s="19" t="s">
        <v>1898</v>
      </c>
    </row>
    <row r="13" spans="1:6">
      <c r="A13" s="18" t="s">
        <v>1683</v>
      </c>
      <c r="B13" s="19" t="s">
        <v>1886</v>
      </c>
      <c r="C13" s="18">
        <v>9</v>
      </c>
      <c r="D13" s="19" t="s">
        <v>1890</v>
      </c>
      <c r="E13" s="18" t="s">
        <v>1899</v>
      </c>
      <c r="F13" s="19" t="s">
        <v>1900</v>
      </c>
    </row>
    <row r="14" spans="1:6">
      <c r="A14" s="18" t="s">
        <v>1683</v>
      </c>
      <c r="B14" s="19" t="s">
        <v>1886</v>
      </c>
      <c r="C14" s="18">
        <v>10</v>
      </c>
      <c r="D14" s="19" t="s">
        <v>1890</v>
      </c>
      <c r="E14" s="18" t="s">
        <v>1901</v>
      </c>
      <c r="F14" s="19" t="s">
        <v>1902</v>
      </c>
    </row>
    <row r="15" spans="1:6">
      <c r="A15" s="18" t="s">
        <v>1683</v>
      </c>
      <c r="B15" s="19" t="s">
        <v>1886</v>
      </c>
      <c r="C15" s="18">
        <v>11</v>
      </c>
      <c r="D15" s="19" t="s">
        <v>1890</v>
      </c>
      <c r="E15" s="18" t="s">
        <v>1903</v>
      </c>
      <c r="F15" s="19" t="s">
        <v>1904</v>
      </c>
    </row>
    <row r="16" spans="1:6">
      <c r="A16" s="18" t="s">
        <v>1683</v>
      </c>
      <c r="B16" s="19" t="s">
        <v>1886</v>
      </c>
      <c r="C16" s="18">
        <v>12</v>
      </c>
      <c r="D16" s="19" t="s">
        <v>1890</v>
      </c>
      <c r="E16" s="18" t="s">
        <v>1905</v>
      </c>
      <c r="F16" s="19" t="s">
        <v>1906</v>
      </c>
    </row>
    <row r="17" spans="1:6">
      <c r="A17" s="18" t="s">
        <v>1683</v>
      </c>
      <c r="B17" s="19" t="s">
        <v>1886</v>
      </c>
      <c r="C17" s="18">
        <v>13</v>
      </c>
      <c r="D17" s="19" t="s">
        <v>1890</v>
      </c>
      <c r="E17" s="18" t="s">
        <v>1907</v>
      </c>
      <c r="F17" s="19" t="s">
        <v>1908</v>
      </c>
    </row>
    <row r="18" spans="1:6">
      <c r="A18" s="18" t="s">
        <v>1683</v>
      </c>
      <c r="B18" s="19" t="s">
        <v>1886</v>
      </c>
      <c r="C18" s="18">
        <v>14</v>
      </c>
      <c r="D18" s="19" t="s">
        <v>1890</v>
      </c>
      <c r="E18" s="18" t="s">
        <v>1909</v>
      </c>
      <c r="F18" s="19" t="s">
        <v>1910</v>
      </c>
    </row>
    <row r="19" spans="1:6">
      <c r="A19" s="18" t="s">
        <v>1683</v>
      </c>
      <c r="B19" s="19" t="s">
        <v>1886</v>
      </c>
      <c r="C19" s="18">
        <v>15</v>
      </c>
      <c r="D19" s="19" t="s">
        <v>1911</v>
      </c>
      <c r="E19" s="18" t="s">
        <v>1748</v>
      </c>
      <c r="F19" s="19" t="s">
        <v>1911</v>
      </c>
    </row>
    <row r="20" spans="1:6">
      <c r="A20" s="18" t="s">
        <v>1683</v>
      </c>
      <c r="B20" s="19" t="s">
        <v>1886</v>
      </c>
      <c r="C20" s="18">
        <v>16</v>
      </c>
      <c r="D20" s="19" t="s">
        <v>1911</v>
      </c>
      <c r="E20" s="18" t="s">
        <v>1912</v>
      </c>
      <c r="F20" s="19" t="s">
        <v>1913</v>
      </c>
    </row>
    <row r="21" spans="1:6">
      <c r="A21" s="18" t="s">
        <v>1683</v>
      </c>
      <c r="B21" s="19" t="s">
        <v>1886</v>
      </c>
      <c r="C21" s="18">
        <v>17</v>
      </c>
      <c r="D21" s="19" t="s">
        <v>1911</v>
      </c>
      <c r="E21" s="18" t="s">
        <v>1914</v>
      </c>
      <c r="F21" s="19" t="s">
        <v>1915</v>
      </c>
    </row>
    <row r="22" spans="1:6">
      <c r="A22" s="18" t="s">
        <v>1683</v>
      </c>
      <c r="B22" s="19" t="s">
        <v>1886</v>
      </c>
      <c r="C22" s="18">
        <v>18</v>
      </c>
      <c r="D22" s="19" t="s">
        <v>1911</v>
      </c>
      <c r="E22" s="18" t="s">
        <v>1914</v>
      </c>
      <c r="F22" s="19" t="s">
        <v>1916</v>
      </c>
    </row>
    <row r="23" spans="1:6">
      <c r="A23" s="18" t="s">
        <v>1683</v>
      </c>
      <c r="B23" s="19" t="s">
        <v>1886</v>
      </c>
      <c r="C23" s="18">
        <v>19</v>
      </c>
      <c r="D23" s="19" t="s">
        <v>1911</v>
      </c>
      <c r="E23" s="18" t="s">
        <v>1914</v>
      </c>
      <c r="F23" s="19" t="s">
        <v>1917</v>
      </c>
    </row>
    <row r="24" spans="1:6">
      <c r="A24" s="18" t="s">
        <v>1683</v>
      </c>
      <c r="B24" s="19" t="s">
        <v>1886</v>
      </c>
      <c r="C24" s="18">
        <v>20</v>
      </c>
      <c r="D24" s="19" t="s">
        <v>1911</v>
      </c>
      <c r="E24" s="18" t="s">
        <v>1914</v>
      </c>
      <c r="F24" s="19" t="s">
        <v>1918</v>
      </c>
    </row>
    <row r="25" spans="1:6">
      <c r="A25" s="18" t="s">
        <v>1683</v>
      </c>
      <c r="B25" s="19" t="s">
        <v>1886</v>
      </c>
      <c r="C25" s="18">
        <v>21</v>
      </c>
      <c r="D25" s="19" t="s">
        <v>1911</v>
      </c>
      <c r="E25" s="18" t="s">
        <v>1914</v>
      </c>
      <c r="F25" s="19" t="s">
        <v>1919</v>
      </c>
    </row>
    <row r="26" spans="1:6">
      <c r="A26" s="18" t="s">
        <v>1683</v>
      </c>
      <c r="B26" s="19" t="s">
        <v>1886</v>
      </c>
      <c r="C26" s="18">
        <v>22</v>
      </c>
      <c r="D26" s="19" t="s">
        <v>1911</v>
      </c>
      <c r="E26" s="18" t="s">
        <v>1914</v>
      </c>
      <c r="F26" s="19" t="s">
        <v>1920</v>
      </c>
    </row>
    <row r="27" spans="1:6">
      <c r="A27" s="18" t="s">
        <v>1683</v>
      </c>
      <c r="B27" s="19" t="s">
        <v>1886</v>
      </c>
      <c r="C27" s="18">
        <v>23</v>
      </c>
      <c r="D27" s="19" t="s">
        <v>1911</v>
      </c>
      <c r="E27" s="18" t="s">
        <v>1921</v>
      </c>
      <c r="F27" s="19" t="s">
        <v>1922</v>
      </c>
    </row>
    <row r="28" spans="1:6">
      <c r="A28" s="18" t="s">
        <v>1683</v>
      </c>
      <c r="B28" s="19" t="s">
        <v>1886</v>
      </c>
      <c r="C28" s="18">
        <v>24</v>
      </c>
      <c r="D28" s="19" t="s">
        <v>1911</v>
      </c>
      <c r="E28" s="18" t="s">
        <v>1921</v>
      </c>
      <c r="F28" s="19" t="s">
        <v>1923</v>
      </c>
    </row>
    <row r="29" spans="1:6">
      <c r="A29" s="18" t="s">
        <v>1683</v>
      </c>
      <c r="B29" s="19" t="s">
        <v>1886</v>
      </c>
      <c r="C29" s="18">
        <v>25</v>
      </c>
      <c r="D29" s="19" t="s">
        <v>1911</v>
      </c>
      <c r="E29" s="18" t="s">
        <v>1921</v>
      </c>
      <c r="F29" s="19" t="s">
        <v>1924</v>
      </c>
    </row>
    <row r="30" spans="1:6">
      <c r="A30" s="18" t="s">
        <v>1683</v>
      </c>
      <c r="B30" s="19" t="s">
        <v>1886</v>
      </c>
      <c r="C30" s="18">
        <v>26</v>
      </c>
      <c r="D30" s="19" t="s">
        <v>1911</v>
      </c>
      <c r="E30" s="18" t="s">
        <v>1921</v>
      </c>
      <c r="F30" s="19" t="s">
        <v>1925</v>
      </c>
    </row>
    <row r="31" spans="1:6">
      <c r="A31" s="18" t="s">
        <v>1683</v>
      </c>
      <c r="B31" s="19" t="s">
        <v>1886</v>
      </c>
      <c r="C31" s="18">
        <v>27</v>
      </c>
      <c r="D31" s="19" t="s">
        <v>1911</v>
      </c>
      <c r="E31" s="18" t="s">
        <v>1921</v>
      </c>
      <c r="F31" s="19" t="s">
        <v>1926</v>
      </c>
    </row>
    <row r="32" spans="1:6">
      <c r="A32" s="18" t="s">
        <v>1683</v>
      </c>
      <c r="B32" s="19" t="s">
        <v>1886</v>
      </c>
      <c r="C32" s="18">
        <v>28</v>
      </c>
      <c r="D32" s="19" t="s">
        <v>1911</v>
      </c>
      <c r="E32" s="18" t="s">
        <v>1921</v>
      </c>
      <c r="F32" s="19" t="s">
        <v>1927</v>
      </c>
    </row>
    <row r="33" spans="1:6">
      <c r="A33" s="18" t="s">
        <v>1683</v>
      </c>
      <c r="B33" s="19" t="s">
        <v>1886</v>
      </c>
      <c r="C33" s="18">
        <v>29</v>
      </c>
      <c r="D33" s="19" t="s">
        <v>1911</v>
      </c>
      <c r="E33" s="18" t="s">
        <v>1921</v>
      </c>
      <c r="F33" s="19" t="s">
        <v>1928</v>
      </c>
    </row>
    <row r="34" spans="1:6">
      <c r="A34" s="18" t="s">
        <v>1683</v>
      </c>
      <c r="B34" s="19" t="s">
        <v>1886</v>
      </c>
      <c r="C34" s="18">
        <v>30</v>
      </c>
      <c r="D34" s="19" t="s">
        <v>1911</v>
      </c>
      <c r="E34" s="18" t="s">
        <v>1921</v>
      </c>
      <c r="F34" s="19" t="s">
        <v>1929</v>
      </c>
    </row>
    <row r="35" spans="1:6">
      <c r="A35" s="18" t="s">
        <v>1683</v>
      </c>
      <c r="B35" s="19" t="s">
        <v>1886</v>
      </c>
      <c r="C35" s="18">
        <v>31</v>
      </c>
      <c r="D35" s="19" t="s">
        <v>1911</v>
      </c>
      <c r="E35" s="18" t="s">
        <v>1921</v>
      </c>
      <c r="F35" s="19" t="s">
        <v>1930</v>
      </c>
    </row>
    <row r="36" spans="1:6">
      <c r="A36" s="18" t="s">
        <v>1683</v>
      </c>
      <c r="B36" s="19" t="s">
        <v>1886</v>
      </c>
      <c r="C36" s="18">
        <v>32</v>
      </c>
      <c r="D36" s="19" t="s">
        <v>1911</v>
      </c>
      <c r="E36" s="18" t="s">
        <v>1921</v>
      </c>
      <c r="F36" s="19" t="s">
        <v>1931</v>
      </c>
    </row>
    <row r="37" spans="1:6">
      <c r="A37" s="18" t="s">
        <v>1683</v>
      </c>
      <c r="B37" s="19" t="s">
        <v>1886</v>
      </c>
      <c r="C37" s="18">
        <v>33</v>
      </c>
      <c r="D37" s="19" t="s">
        <v>1911</v>
      </c>
      <c r="E37" s="18" t="s">
        <v>1932</v>
      </c>
      <c r="F37" s="19" t="s">
        <v>1933</v>
      </c>
    </row>
    <row r="38" spans="1:6">
      <c r="A38" s="18" t="s">
        <v>1683</v>
      </c>
      <c r="B38" s="19" t="s">
        <v>1886</v>
      </c>
      <c r="C38" s="18">
        <v>34</v>
      </c>
      <c r="D38" s="19" t="s">
        <v>1911</v>
      </c>
      <c r="E38" s="18" t="s">
        <v>1934</v>
      </c>
      <c r="F38" s="19" t="s">
        <v>1935</v>
      </c>
    </row>
    <row r="39" spans="1:6">
      <c r="A39" s="18" t="s">
        <v>1683</v>
      </c>
      <c r="B39" s="19" t="s">
        <v>1886</v>
      </c>
      <c r="C39" s="18">
        <v>35</v>
      </c>
      <c r="D39" s="19" t="s">
        <v>1911</v>
      </c>
      <c r="E39" s="18" t="s">
        <v>1936</v>
      </c>
      <c r="F39" s="19" t="s">
        <v>1937</v>
      </c>
    </row>
    <row r="40" spans="1:6">
      <c r="A40" s="18" t="s">
        <v>1683</v>
      </c>
      <c r="B40" s="19" t="s">
        <v>1886</v>
      </c>
      <c r="C40" s="18">
        <v>36</v>
      </c>
      <c r="D40" s="19" t="s">
        <v>1911</v>
      </c>
      <c r="E40" s="18" t="s">
        <v>1938</v>
      </c>
      <c r="F40" s="19" t="s">
        <v>1939</v>
      </c>
    </row>
    <row r="41" spans="1:6">
      <c r="A41" s="18" t="s">
        <v>1683</v>
      </c>
      <c r="B41" s="19" t="s">
        <v>1886</v>
      </c>
      <c r="C41" s="18">
        <v>37</v>
      </c>
      <c r="D41" s="19" t="s">
        <v>1911</v>
      </c>
      <c r="E41" s="18" t="s">
        <v>1940</v>
      </c>
      <c r="F41" s="19" t="s">
        <v>1941</v>
      </c>
    </row>
    <row r="42" spans="1:6">
      <c r="A42" s="18" t="s">
        <v>1683</v>
      </c>
      <c r="B42" s="19" t="s">
        <v>1886</v>
      </c>
      <c r="C42" s="18">
        <v>38</v>
      </c>
      <c r="D42" s="19" t="s">
        <v>1911</v>
      </c>
      <c r="E42" s="18" t="s">
        <v>1942</v>
      </c>
      <c r="F42" s="19" t="s">
        <v>1943</v>
      </c>
    </row>
    <row r="43" spans="1:6">
      <c r="A43" s="18" t="s">
        <v>1683</v>
      </c>
      <c r="B43" s="19" t="s">
        <v>1886</v>
      </c>
      <c r="C43" s="18">
        <v>39</v>
      </c>
      <c r="D43" s="19" t="s">
        <v>1911</v>
      </c>
      <c r="E43" s="18" t="s">
        <v>1944</v>
      </c>
      <c r="F43" s="19" t="s">
        <v>1945</v>
      </c>
    </row>
    <row r="44" spans="1:6">
      <c r="A44" s="18" t="s">
        <v>1683</v>
      </c>
      <c r="B44" s="19" t="s">
        <v>1886</v>
      </c>
      <c r="C44" s="18">
        <v>40</v>
      </c>
      <c r="D44" s="19" t="s">
        <v>1911</v>
      </c>
      <c r="E44" s="18" t="s">
        <v>1946</v>
      </c>
      <c r="F44" s="19" t="s">
        <v>1947</v>
      </c>
    </row>
    <row r="45" spans="1:6" ht="69">
      <c r="A45" s="18" t="s">
        <v>1683</v>
      </c>
      <c r="B45" s="19" t="s">
        <v>1886</v>
      </c>
      <c r="C45" s="18">
        <v>41</v>
      </c>
      <c r="D45" s="19" t="s">
        <v>1911</v>
      </c>
      <c r="E45" s="18" t="s">
        <v>1946</v>
      </c>
      <c r="F45" s="19" t="s">
        <v>1948</v>
      </c>
    </row>
    <row r="46" spans="1:6">
      <c r="A46" s="16" t="s">
        <v>1695</v>
      </c>
      <c r="B46" s="17" t="s">
        <v>1949</v>
      </c>
      <c r="C46" s="16">
        <v>1</v>
      </c>
      <c r="D46" s="17"/>
      <c r="E46" s="16" t="s">
        <v>1740</v>
      </c>
      <c r="F46" s="17" t="s">
        <v>1950</v>
      </c>
    </row>
    <row r="47" spans="1:6">
      <c r="A47" s="18" t="s">
        <v>1695</v>
      </c>
      <c r="B47" s="19" t="s">
        <v>1949</v>
      </c>
      <c r="C47" s="18">
        <v>2</v>
      </c>
      <c r="D47" s="19"/>
      <c r="E47" s="18" t="s">
        <v>1740</v>
      </c>
      <c r="F47" s="19" t="s">
        <v>1951</v>
      </c>
    </row>
    <row r="48" spans="1:6">
      <c r="A48" s="18" t="s">
        <v>1695</v>
      </c>
      <c r="B48" s="19" t="s">
        <v>1949</v>
      </c>
      <c r="C48" s="18">
        <v>3</v>
      </c>
      <c r="D48" s="19"/>
      <c r="E48" s="18" t="s">
        <v>1740</v>
      </c>
      <c r="F48" s="19" t="s">
        <v>1889</v>
      </c>
    </row>
    <row r="49" spans="1:6">
      <c r="A49" s="18" t="s">
        <v>1695</v>
      </c>
      <c r="B49" s="19" t="s">
        <v>1949</v>
      </c>
      <c r="C49" s="18">
        <v>4</v>
      </c>
      <c r="D49" s="19" t="s">
        <v>1890</v>
      </c>
      <c r="E49" s="18" t="s">
        <v>1748</v>
      </c>
      <c r="F49" s="19" t="s">
        <v>1890</v>
      </c>
    </row>
    <row r="50" spans="1:6">
      <c r="A50" s="18" t="s">
        <v>1695</v>
      </c>
      <c r="B50" s="19" t="s">
        <v>1949</v>
      </c>
      <c r="C50" s="18">
        <v>5</v>
      </c>
      <c r="D50" s="19" t="s">
        <v>1890</v>
      </c>
      <c r="E50" s="18" t="s">
        <v>1891</v>
      </c>
      <c r="F50" s="19" t="s">
        <v>1952</v>
      </c>
    </row>
    <row r="51" spans="1:6">
      <c r="A51" s="18" t="s">
        <v>1695</v>
      </c>
      <c r="B51" s="19" t="s">
        <v>1949</v>
      </c>
      <c r="C51" s="18">
        <v>6</v>
      </c>
      <c r="D51" s="19" t="s">
        <v>1890</v>
      </c>
      <c r="E51" s="18" t="s">
        <v>1893</v>
      </c>
      <c r="F51" s="19" t="s">
        <v>1953</v>
      </c>
    </row>
    <row r="52" spans="1:6">
      <c r="A52" s="18" t="s">
        <v>1695</v>
      </c>
      <c r="B52" s="19" t="s">
        <v>1949</v>
      </c>
      <c r="C52" s="18">
        <v>7</v>
      </c>
      <c r="D52" s="19" t="s">
        <v>1890</v>
      </c>
      <c r="E52" s="18" t="s">
        <v>1895</v>
      </c>
      <c r="F52" s="19" t="s">
        <v>1954</v>
      </c>
    </row>
    <row r="53" spans="1:6">
      <c r="A53" s="18" t="s">
        <v>1695</v>
      </c>
      <c r="B53" s="19" t="s">
        <v>1949</v>
      </c>
      <c r="C53" s="18">
        <v>8</v>
      </c>
      <c r="D53" s="19" t="s">
        <v>1890</v>
      </c>
      <c r="E53" s="18" t="s">
        <v>1897</v>
      </c>
      <c r="F53" s="19" t="s">
        <v>1955</v>
      </c>
    </row>
    <row r="54" spans="1:6">
      <c r="A54" s="18" t="s">
        <v>1695</v>
      </c>
      <c r="B54" s="19" t="s">
        <v>1949</v>
      </c>
      <c r="C54" s="18">
        <v>9</v>
      </c>
      <c r="D54" s="19" t="s">
        <v>1890</v>
      </c>
      <c r="E54" s="18" t="s">
        <v>1899</v>
      </c>
      <c r="F54" s="19" t="s">
        <v>1956</v>
      </c>
    </row>
    <row r="55" spans="1:6">
      <c r="A55" s="18" t="s">
        <v>1695</v>
      </c>
      <c r="B55" s="19" t="s">
        <v>1949</v>
      </c>
      <c r="C55" s="18">
        <v>10</v>
      </c>
      <c r="D55" s="19" t="s">
        <v>1890</v>
      </c>
      <c r="E55" s="18" t="s">
        <v>1901</v>
      </c>
      <c r="F55" s="19" t="s">
        <v>1957</v>
      </c>
    </row>
    <row r="56" spans="1:6">
      <c r="A56" s="18" t="s">
        <v>1695</v>
      </c>
      <c r="B56" s="19" t="s">
        <v>1949</v>
      </c>
      <c r="C56" s="18">
        <v>11</v>
      </c>
      <c r="D56" s="19" t="s">
        <v>1890</v>
      </c>
      <c r="E56" s="18" t="s">
        <v>1903</v>
      </c>
      <c r="F56" s="19" t="s">
        <v>1958</v>
      </c>
    </row>
    <row r="57" spans="1:6">
      <c r="A57" s="18" t="s">
        <v>1695</v>
      </c>
      <c r="B57" s="19" t="s">
        <v>1949</v>
      </c>
      <c r="C57" s="18">
        <v>12</v>
      </c>
      <c r="D57" s="19" t="s">
        <v>1890</v>
      </c>
      <c r="E57" s="18" t="s">
        <v>1905</v>
      </c>
      <c r="F57" s="19" t="s">
        <v>1959</v>
      </c>
    </row>
    <row r="58" spans="1:6">
      <c r="A58" s="18" t="s">
        <v>1695</v>
      </c>
      <c r="B58" s="19" t="s">
        <v>1949</v>
      </c>
      <c r="C58" s="18">
        <v>13</v>
      </c>
      <c r="D58" s="19" t="s">
        <v>1890</v>
      </c>
      <c r="E58" s="18" t="s">
        <v>1907</v>
      </c>
      <c r="F58" s="19" t="s">
        <v>1960</v>
      </c>
    </row>
    <row r="59" spans="1:6">
      <c r="A59" s="18" t="s">
        <v>1695</v>
      </c>
      <c r="B59" s="19" t="s">
        <v>1949</v>
      </c>
      <c r="C59" s="18">
        <v>14</v>
      </c>
      <c r="D59" s="19" t="s">
        <v>1890</v>
      </c>
      <c r="E59" s="18" t="s">
        <v>1909</v>
      </c>
      <c r="F59" s="19" t="s">
        <v>1961</v>
      </c>
    </row>
    <row r="60" spans="1:6">
      <c r="A60" s="18" t="s">
        <v>1695</v>
      </c>
      <c r="B60" s="19" t="s">
        <v>1949</v>
      </c>
      <c r="C60" s="18">
        <v>15</v>
      </c>
      <c r="D60" s="19" t="s">
        <v>1962</v>
      </c>
      <c r="E60" s="18" t="s">
        <v>1748</v>
      </c>
      <c r="F60" s="19" t="s">
        <v>1962</v>
      </c>
    </row>
    <row r="61" spans="1:6">
      <c r="A61" s="18" t="s">
        <v>1695</v>
      </c>
      <c r="B61" s="19" t="s">
        <v>1949</v>
      </c>
      <c r="C61" s="18">
        <v>16</v>
      </c>
      <c r="D61" s="19" t="s">
        <v>1962</v>
      </c>
      <c r="E61" s="18" t="s">
        <v>152</v>
      </c>
      <c r="F61" s="19" t="s">
        <v>1963</v>
      </c>
    </row>
    <row r="62" spans="1:6">
      <c r="A62" s="18" t="s">
        <v>1695</v>
      </c>
      <c r="B62" s="19" t="s">
        <v>1949</v>
      </c>
      <c r="C62" s="18">
        <v>17</v>
      </c>
      <c r="D62" s="19" t="s">
        <v>1962</v>
      </c>
      <c r="E62" s="18" t="s">
        <v>159</v>
      </c>
      <c r="F62" s="19" t="s">
        <v>1964</v>
      </c>
    </row>
    <row r="63" spans="1:6">
      <c r="A63" s="18" t="s">
        <v>1695</v>
      </c>
      <c r="B63" s="19" t="s">
        <v>1949</v>
      </c>
      <c r="C63" s="18">
        <v>18</v>
      </c>
      <c r="D63" s="19" t="s">
        <v>1962</v>
      </c>
      <c r="E63" s="18" t="s">
        <v>163</v>
      </c>
      <c r="F63" s="19" t="s">
        <v>1965</v>
      </c>
    </row>
    <row r="64" spans="1:6">
      <c r="A64" s="18" t="s">
        <v>1695</v>
      </c>
      <c r="B64" s="19" t="s">
        <v>1949</v>
      </c>
      <c r="C64" s="18">
        <v>19</v>
      </c>
      <c r="D64" s="19" t="s">
        <v>1962</v>
      </c>
      <c r="E64" s="18" t="s">
        <v>168</v>
      </c>
      <c r="F64" s="19" t="s">
        <v>1966</v>
      </c>
    </row>
    <row r="65" spans="1:6">
      <c r="A65" s="18" t="s">
        <v>1695</v>
      </c>
      <c r="B65" s="19" t="s">
        <v>1949</v>
      </c>
      <c r="C65" s="18">
        <v>20</v>
      </c>
      <c r="D65" s="19" t="s">
        <v>1962</v>
      </c>
      <c r="E65" s="18" t="s">
        <v>171</v>
      </c>
      <c r="F65" s="19" t="s">
        <v>1967</v>
      </c>
    </row>
    <row r="66" spans="1:6">
      <c r="A66" s="18" t="s">
        <v>1695</v>
      </c>
      <c r="B66" s="19" t="s">
        <v>1949</v>
      </c>
      <c r="C66" s="18">
        <v>21</v>
      </c>
      <c r="D66" s="19" t="s">
        <v>1962</v>
      </c>
      <c r="E66" s="18" t="s">
        <v>1968</v>
      </c>
      <c r="F66" s="19" t="s">
        <v>1969</v>
      </c>
    </row>
    <row r="67" spans="1:6" ht="27.6">
      <c r="A67" s="18" t="s">
        <v>1695</v>
      </c>
      <c r="B67" s="19" t="s">
        <v>1949</v>
      </c>
      <c r="C67" s="18">
        <v>22</v>
      </c>
      <c r="D67" s="19" t="s">
        <v>1962</v>
      </c>
      <c r="E67" s="18" t="s">
        <v>193</v>
      </c>
      <c r="F67" s="19" t="s">
        <v>1970</v>
      </c>
    </row>
    <row r="68" spans="1:6" ht="27.6">
      <c r="A68" s="16" t="s">
        <v>1704</v>
      </c>
      <c r="B68" s="17" t="s">
        <v>1971</v>
      </c>
      <c r="C68" s="16">
        <v>1</v>
      </c>
      <c r="D68" s="17"/>
      <c r="E68" s="16" t="s">
        <v>1740</v>
      </c>
      <c r="F68" s="17" t="s">
        <v>1972</v>
      </c>
    </row>
    <row r="69" spans="1:6" ht="27.6">
      <c r="A69" s="18" t="s">
        <v>1704</v>
      </c>
      <c r="B69" s="19" t="s">
        <v>1971</v>
      </c>
      <c r="C69" s="18">
        <v>2</v>
      </c>
      <c r="D69" s="19"/>
      <c r="E69" s="18" t="s">
        <v>1740</v>
      </c>
      <c r="F69" s="19" t="s">
        <v>1973</v>
      </c>
    </row>
    <row r="70" spans="1:6" ht="27.6">
      <c r="A70" s="18" t="s">
        <v>1704</v>
      </c>
      <c r="B70" s="19" t="s">
        <v>1971</v>
      </c>
      <c r="C70" s="18">
        <v>3</v>
      </c>
      <c r="D70" s="19"/>
      <c r="E70" s="18" t="s">
        <v>1740</v>
      </c>
      <c r="F70" s="19" t="s">
        <v>1974</v>
      </c>
    </row>
    <row r="71" spans="1:6" ht="27.6">
      <c r="A71" s="18" t="s">
        <v>1704</v>
      </c>
      <c r="B71" s="19" t="s">
        <v>1971</v>
      </c>
      <c r="C71" s="18">
        <v>4</v>
      </c>
      <c r="D71" s="19" t="s">
        <v>1890</v>
      </c>
      <c r="E71" s="18" t="s">
        <v>1748</v>
      </c>
      <c r="F71" s="19" t="s">
        <v>1890</v>
      </c>
    </row>
    <row r="72" spans="1:6" ht="27.6">
      <c r="A72" s="18" t="s">
        <v>1704</v>
      </c>
      <c r="B72" s="19" t="s">
        <v>1971</v>
      </c>
      <c r="C72" s="18">
        <v>5</v>
      </c>
      <c r="D72" s="19" t="s">
        <v>1890</v>
      </c>
      <c r="E72" s="18" t="s">
        <v>1891</v>
      </c>
      <c r="F72" s="19" t="s">
        <v>1975</v>
      </c>
    </row>
    <row r="73" spans="1:6" ht="27.6">
      <c r="A73" s="18" t="s">
        <v>1704</v>
      </c>
      <c r="B73" s="19" t="s">
        <v>1971</v>
      </c>
      <c r="C73" s="18">
        <v>6</v>
      </c>
      <c r="D73" s="19" t="s">
        <v>1890</v>
      </c>
      <c r="E73" s="18" t="s">
        <v>1893</v>
      </c>
      <c r="F73" s="19" t="s">
        <v>1976</v>
      </c>
    </row>
    <row r="74" spans="1:6" ht="27.6">
      <c r="A74" s="18" t="s">
        <v>1704</v>
      </c>
      <c r="B74" s="19" t="s">
        <v>1971</v>
      </c>
      <c r="C74" s="18">
        <v>7</v>
      </c>
      <c r="D74" s="19" t="s">
        <v>1890</v>
      </c>
      <c r="E74" s="18" t="s">
        <v>1895</v>
      </c>
      <c r="F74" s="19" t="s">
        <v>1977</v>
      </c>
    </row>
    <row r="75" spans="1:6" ht="27.6">
      <c r="A75" s="18" t="s">
        <v>1704</v>
      </c>
      <c r="B75" s="19" t="s">
        <v>1971</v>
      </c>
      <c r="C75" s="18">
        <v>8</v>
      </c>
      <c r="D75" s="19" t="s">
        <v>1890</v>
      </c>
      <c r="E75" s="18" t="s">
        <v>1897</v>
      </c>
      <c r="F75" s="19" t="s">
        <v>1978</v>
      </c>
    </row>
    <row r="76" spans="1:6" ht="27.6">
      <c r="A76" s="18" t="s">
        <v>1704</v>
      </c>
      <c r="B76" s="19" t="s">
        <v>1971</v>
      </c>
      <c r="C76" s="18">
        <v>9</v>
      </c>
      <c r="D76" s="19" t="s">
        <v>1890</v>
      </c>
      <c r="E76" s="18" t="s">
        <v>1899</v>
      </c>
      <c r="F76" s="19" t="s">
        <v>1979</v>
      </c>
    </row>
    <row r="77" spans="1:6" ht="27.6">
      <c r="A77" s="18" t="s">
        <v>1704</v>
      </c>
      <c r="B77" s="19" t="s">
        <v>1971</v>
      </c>
      <c r="C77" s="18">
        <v>10</v>
      </c>
      <c r="D77" s="19" t="s">
        <v>1890</v>
      </c>
      <c r="E77" s="18" t="s">
        <v>1901</v>
      </c>
      <c r="F77" s="19" t="s">
        <v>1980</v>
      </c>
    </row>
    <row r="78" spans="1:6" ht="27.6">
      <c r="A78" s="18" t="s">
        <v>1704</v>
      </c>
      <c r="B78" s="19" t="s">
        <v>1971</v>
      </c>
      <c r="C78" s="18">
        <v>11</v>
      </c>
      <c r="D78" s="19" t="s">
        <v>1890</v>
      </c>
      <c r="E78" s="18" t="s">
        <v>1903</v>
      </c>
      <c r="F78" s="19" t="s">
        <v>1981</v>
      </c>
    </row>
    <row r="79" spans="1:6" ht="27.6">
      <c r="A79" s="18" t="s">
        <v>1704</v>
      </c>
      <c r="B79" s="19" t="s">
        <v>1971</v>
      </c>
      <c r="C79" s="18">
        <v>12</v>
      </c>
      <c r="D79" s="19" t="s">
        <v>1890</v>
      </c>
      <c r="E79" s="18" t="s">
        <v>1905</v>
      </c>
      <c r="F79" s="19" t="s">
        <v>1982</v>
      </c>
    </row>
    <row r="80" spans="1:6" ht="27.6">
      <c r="A80" s="18" t="s">
        <v>1704</v>
      </c>
      <c r="B80" s="19" t="s">
        <v>1971</v>
      </c>
      <c r="C80" s="18">
        <v>13</v>
      </c>
      <c r="D80" s="19" t="s">
        <v>1890</v>
      </c>
      <c r="E80" s="18" t="s">
        <v>1907</v>
      </c>
      <c r="F80" s="19" t="s">
        <v>1983</v>
      </c>
    </row>
    <row r="81" spans="1:6" ht="27.6">
      <c r="A81" s="18" t="s">
        <v>1704</v>
      </c>
      <c r="B81" s="19" t="s">
        <v>1971</v>
      </c>
      <c r="C81" s="18">
        <v>14</v>
      </c>
      <c r="D81" s="19" t="s">
        <v>1890</v>
      </c>
      <c r="E81" s="18" t="s">
        <v>1909</v>
      </c>
      <c r="F81" s="19" t="s">
        <v>1984</v>
      </c>
    </row>
    <row r="82" spans="1:6" ht="27.6">
      <c r="A82" s="18" t="s">
        <v>1704</v>
      </c>
      <c r="B82" s="19" t="s">
        <v>1971</v>
      </c>
      <c r="C82" s="18">
        <v>15</v>
      </c>
      <c r="D82" s="19" t="s">
        <v>1985</v>
      </c>
      <c r="E82" s="18" t="s">
        <v>1748</v>
      </c>
      <c r="F82" s="19" t="s">
        <v>1985</v>
      </c>
    </row>
    <row r="83" spans="1:6" ht="27.6">
      <c r="A83" s="18" t="s">
        <v>1704</v>
      </c>
      <c r="B83" s="19" t="s">
        <v>1971</v>
      </c>
      <c r="C83" s="18">
        <v>16</v>
      </c>
      <c r="D83" s="19" t="s">
        <v>1985</v>
      </c>
      <c r="E83" s="18" t="s">
        <v>1986</v>
      </c>
      <c r="F83" s="19" t="s">
        <v>1987</v>
      </c>
    </row>
    <row r="84" spans="1:6" ht="27.6">
      <c r="A84" s="18" t="s">
        <v>1704</v>
      </c>
      <c r="B84" s="19" t="s">
        <v>1971</v>
      </c>
      <c r="C84" s="18">
        <v>17</v>
      </c>
      <c r="D84" s="19" t="s">
        <v>1985</v>
      </c>
      <c r="E84" s="18" t="s">
        <v>1988</v>
      </c>
      <c r="F84" s="19" t="s">
        <v>1989</v>
      </c>
    </row>
    <row r="85" spans="1:6" ht="27.6">
      <c r="A85" s="18" t="s">
        <v>1704</v>
      </c>
      <c r="B85" s="19" t="s">
        <v>1971</v>
      </c>
      <c r="C85" s="18">
        <v>18</v>
      </c>
      <c r="D85" s="19" t="s">
        <v>1985</v>
      </c>
      <c r="E85" s="18" t="s">
        <v>1990</v>
      </c>
      <c r="F85" s="19" t="s">
        <v>1991</v>
      </c>
    </row>
    <row r="86" spans="1:6" ht="27.6">
      <c r="A86" s="18" t="s">
        <v>1704</v>
      </c>
      <c r="B86" s="19" t="s">
        <v>1971</v>
      </c>
      <c r="C86" s="18">
        <v>19</v>
      </c>
      <c r="D86" s="19" t="s">
        <v>1985</v>
      </c>
      <c r="E86" s="18" t="s">
        <v>1992</v>
      </c>
      <c r="F86" s="19" t="s">
        <v>1993</v>
      </c>
    </row>
    <row r="87" spans="1:6" ht="27.6">
      <c r="A87" s="18" t="s">
        <v>1704</v>
      </c>
      <c r="B87" s="19" t="s">
        <v>1971</v>
      </c>
      <c r="C87" s="18">
        <v>20</v>
      </c>
      <c r="D87" s="19" t="s">
        <v>1985</v>
      </c>
      <c r="E87" s="18" t="s">
        <v>1994</v>
      </c>
      <c r="F87" s="19" t="s">
        <v>1995</v>
      </c>
    </row>
    <row r="88" spans="1:6" ht="27.6">
      <c r="A88" s="18" t="s">
        <v>1704</v>
      </c>
      <c r="B88" s="19" t="s">
        <v>1971</v>
      </c>
      <c r="C88" s="18">
        <v>21</v>
      </c>
      <c r="D88" s="19" t="s">
        <v>1985</v>
      </c>
      <c r="E88" s="18" t="s">
        <v>1996</v>
      </c>
      <c r="F88" s="19" t="s">
        <v>1997</v>
      </c>
    </row>
    <row r="89" spans="1:6" ht="27.6">
      <c r="A89" s="18" t="s">
        <v>1704</v>
      </c>
      <c r="B89" s="19" t="s">
        <v>1971</v>
      </c>
      <c r="C89" s="18">
        <v>22</v>
      </c>
      <c r="D89" s="19" t="s">
        <v>1985</v>
      </c>
      <c r="E89" s="18" t="s">
        <v>1998</v>
      </c>
      <c r="F89" s="19" t="s">
        <v>1999</v>
      </c>
    </row>
    <row r="90" spans="1:6" ht="27.6">
      <c r="A90" s="18" t="s">
        <v>1704</v>
      </c>
      <c r="B90" s="19" t="s">
        <v>1971</v>
      </c>
      <c r="C90" s="18">
        <v>23</v>
      </c>
      <c r="D90" s="19" t="s">
        <v>1985</v>
      </c>
      <c r="E90" s="18" t="s">
        <v>2000</v>
      </c>
      <c r="F90" s="19" t="s">
        <v>2001</v>
      </c>
    </row>
    <row r="91" spans="1:6" ht="55.2">
      <c r="A91" s="18" t="s">
        <v>1704</v>
      </c>
      <c r="B91" s="19" t="s">
        <v>1971</v>
      </c>
      <c r="C91" s="18">
        <v>24</v>
      </c>
      <c r="D91" s="19" t="s">
        <v>1985</v>
      </c>
      <c r="E91" s="18" t="s">
        <v>2000</v>
      </c>
      <c r="F91" s="19" t="s">
        <v>2002</v>
      </c>
    </row>
    <row r="92" spans="1:6">
      <c r="A92" s="16" t="s">
        <v>1715</v>
      </c>
      <c r="B92" s="17" t="s">
        <v>2003</v>
      </c>
      <c r="C92" s="16">
        <v>1</v>
      </c>
      <c r="D92" s="17"/>
      <c r="E92" s="16" t="s">
        <v>1740</v>
      </c>
      <c r="F92" s="17" t="s">
        <v>2004</v>
      </c>
    </row>
    <row r="93" spans="1:6">
      <c r="A93" s="18" t="s">
        <v>1715</v>
      </c>
      <c r="B93" s="19" t="s">
        <v>2003</v>
      </c>
      <c r="C93" s="18">
        <v>2</v>
      </c>
      <c r="D93" s="19"/>
      <c r="E93" s="18" t="s">
        <v>1740</v>
      </c>
      <c r="F93" s="19" t="s">
        <v>2005</v>
      </c>
    </row>
    <row r="94" spans="1:6">
      <c r="A94" s="18" t="s">
        <v>1715</v>
      </c>
      <c r="B94" s="19" t="s">
        <v>2003</v>
      </c>
      <c r="C94" s="18">
        <v>3</v>
      </c>
      <c r="D94" s="19"/>
      <c r="E94" s="18" t="s">
        <v>1740</v>
      </c>
      <c r="F94" s="19" t="s">
        <v>1974</v>
      </c>
    </row>
    <row r="95" spans="1:6">
      <c r="A95" s="18" t="s">
        <v>1715</v>
      </c>
      <c r="B95" s="19" t="s">
        <v>2003</v>
      </c>
      <c r="C95" s="18">
        <v>4</v>
      </c>
      <c r="D95" s="19" t="s">
        <v>1890</v>
      </c>
      <c r="E95" s="18" t="s">
        <v>1748</v>
      </c>
      <c r="F95" s="19" t="s">
        <v>1890</v>
      </c>
    </row>
    <row r="96" spans="1:6">
      <c r="A96" s="18" t="s">
        <v>1715</v>
      </c>
      <c r="B96" s="19" t="s">
        <v>2003</v>
      </c>
      <c r="C96" s="18">
        <v>5</v>
      </c>
      <c r="D96" s="19" t="s">
        <v>1890</v>
      </c>
      <c r="E96" s="18" t="s">
        <v>1891</v>
      </c>
      <c r="F96" s="19" t="s">
        <v>1975</v>
      </c>
    </row>
    <row r="97" spans="1:6">
      <c r="A97" s="18" t="s">
        <v>1715</v>
      </c>
      <c r="B97" s="19" t="s">
        <v>2003</v>
      </c>
      <c r="C97" s="18">
        <v>6</v>
      </c>
      <c r="D97" s="19" t="s">
        <v>1890</v>
      </c>
      <c r="E97" s="18" t="s">
        <v>1893</v>
      </c>
      <c r="F97" s="19" t="s">
        <v>1976</v>
      </c>
    </row>
    <row r="98" spans="1:6">
      <c r="A98" s="18" t="s">
        <v>1715</v>
      </c>
      <c r="B98" s="19" t="s">
        <v>2003</v>
      </c>
      <c r="C98" s="18">
        <v>7</v>
      </c>
      <c r="D98" s="19" t="s">
        <v>1890</v>
      </c>
      <c r="E98" s="18" t="s">
        <v>1895</v>
      </c>
      <c r="F98" s="19" t="s">
        <v>1977</v>
      </c>
    </row>
    <row r="99" spans="1:6">
      <c r="A99" s="18" t="s">
        <v>1715</v>
      </c>
      <c r="B99" s="19" t="s">
        <v>2003</v>
      </c>
      <c r="C99" s="18">
        <v>8</v>
      </c>
      <c r="D99" s="19" t="s">
        <v>1890</v>
      </c>
      <c r="E99" s="18" t="s">
        <v>1897</v>
      </c>
      <c r="F99" s="19" t="s">
        <v>1978</v>
      </c>
    </row>
    <row r="100" spans="1:6">
      <c r="A100" s="18" t="s">
        <v>1715</v>
      </c>
      <c r="B100" s="19" t="s">
        <v>2003</v>
      </c>
      <c r="C100" s="18">
        <v>9</v>
      </c>
      <c r="D100" s="19" t="s">
        <v>1890</v>
      </c>
      <c r="E100" s="18" t="s">
        <v>1899</v>
      </c>
      <c r="F100" s="19" t="s">
        <v>2006</v>
      </c>
    </row>
    <row r="101" spans="1:6">
      <c r="A101" s="18" t="s">
        <v>1715</v>
      </c>
      <c r="B101" s="19" t="s">
        <v>2003</v>
      </c>
      <c r="C101" s="18">
        <v>10</v>
      </c>
      <c r="D101" s="19" t="s">
        <v>1890</v>
      </c>
      <c r="E101" s="18" t="s">
        <v>1901</v>
      </c>
      <c r="F101" s="19" t="s">
        <v>1980</v>
      </c>
    </row>
    <row r="102" spans="1:6">
      <c r="A102" s="18" t="s">
        <v>1715</v>
      </c>
      <c r="B102" s="19" t="s">
        <v>2003</v>
      </c>
      <c r="C102" s="18">
        <v>11</v>
      </c>
      <c r="D102" s="19" t="s">
        <v>1890</v>
      </c>
      <c r="E102" s="18" t="s">
        <v>1903</v>
      </c>
      <c r="F102" s="19" t="s">
        <v>1981</v>
      </c>
    </row>
    <row r="103" spans="1:6">
      <c r="A103" s="18" t="s">
        <v>1715</v>
      </c>
      <c r="B103" s="19" t="s">
        <v>2003</v>
      </c>
      <c r="C103" s="18">
        <v>12</v>
      </c>
      <c r="D103" s="19" t="s">
        <v>1890</v>
      </c>
      <c r="E103" s="18" t="s">
        <v>1905</v>
      </c>
      <c r="F103" s="19" t="s">
        <v>2007</v>
      </c>
    </row>
    <row r="104" spans="1:6">
      <c r="A104" s="18" t="s">
        <v>1715</v>
      </c>
      <c r="B104" s="19" t="s">
        <v>2003</v>
      </c>
      <c r="C104" s="18">
        <v>13</v>
      </c>
      <c r="D104" s="19" t="s">
        <v>1890</v>
      </c>
      <c r="E104" s="18" t="s">
        <v>1907</v>
      </c>
      <c r="F104" s="19" t="s">
        <v>2008</v>
      </c>
    </row>
    <row r="105" spans="1:6">
      <c r="A105" s="18" t="s">
        <v>1715</v>
      </c>
      <c r="B105" s="19" t="s">
        <v>2003</v>
      </c>
      <c r="C105" s="18">
        <v>14</v>
      </c>
      <c r="D105" s="19" t="s">
        <v>1890</v>
      </c>
      <c r="E105" s="18" t="s">
        <v>1909</v>
      </c>
      <c r="F105" s="19" t="s">
        <v>1984</v>
      </c>
    </row>
    <row r="106" spans="1:6">
      <c r="A106" s="18" t="s">
        <v>1715</v>
      </c>
      <c r="B106" s="19" t="s">
        <v>2003</v>
      </c>
      <c r="C106" s="18">
        <v>15</v>
      </c>
      <c r="D106" s="19" t="s">
        <v>2009</v>
      </c>
      <c r="E106" s="18" t="s">
        <v>1748</v>
      </c>
      <c r="F106" s="19" t="s">
        <v>2009</v>
      </c>
    </row>
    <row r="107" spans="1:6">
      <c r="A107" s="18" t="s">
        <v>1715</v>
      </c>
      <c r="B107" s="19" t="s">
        <v>2003</v>
      </c>
      <c r="C107" s="18">
        <v>16</v>
      </c>
      <c r="D107" s="19" t="s">
        <v>2009</v>
      </c>
      <c r="E107" s="18" t="s">
        <v>2010</v>
      </c>
      <c r="F107" s="19" t="s">
        <v>2011</v>
      </c>
    </row>
    <row r="108" spans="1:6">
      <c r="A108" s="18" t="s">
        <v>1715</v>
      </c>
      <c r="B108" s="19" t="s">
        <v>2003</v>
      </c>
      <c r="C108" s="18">
        <v>17</v>
      </c>
      <c r="D108" s="19" t="s">
        <v>2009</v>
      </c>
      <c r="E108" s="18" t="s">
        <v>2012</v>
      </c>
      <c r="F108" s="19" t="s">
        <v>2013</v>
      </c>
    </row>
    <row r="109" spans="1:6">
      <c r="A109" s="18" t="s">
        <v>1715</v>
      </c>
      <c r="B109" s="19" t="s">
        <v>2003</v>
      </c>
      <c r="C109" s="18">
        <v>18</v>
      </c>
      <c r="D109" s="19" t="s">
        <v>2009</v>
      </c>
      <c r="E109" s="18" t="s">
        <v>2014</v>
      </c>
      <c r="F109" s="19" t="s">
        <v>2015</v>
      </c>
    </row>
    <row r="110" spans="1:6">
      <c r="A110" s="18" t="s">
        <v>1715</v>
      </c>
      <c r="B110" s="19" t="s">
        <v>2003</v>
      </c>
      <c r="C110" s="18">
        <v>19</v>
      </c>
      <c r="D110" s="19" t="s">
        <v>2009</v>
      </c>
      <c r="E110" s="18" t="s">
        <v>2016</v>
      </c>
      <c r="F110" s="19" t="s">
        <v>2017</v>
      </c>
    </row>
    <row r="111" spans="1:6">
      <c r="A111" s="18" t="s">
        <v>1715</v>
      </c>
      <c r="B111" s="19" t="s">
        <v>2003</v>
      </c>
      <c r="C111" s="18">
        <v>20</v>
      </c>
      <c r="D111" s="19" t="s">
        <v>2009</v>
      </c>
      <c r="E111" s="18" t="s">
        <v>2018</v>
      </c>
      <c r="F111" s="19" t="s">
        <v>2019</v>
      </c>
    </row>
    <row r="112" spans="1:6">
      <c r="A112" s="18" t="s">
        <v>1715</v>
      </c>
      <c r="B112" s="19" t="s">
        <v>2003</v>
      </c>
      <c r="C112" s="18">
        <v>21</v>
      </c>
      <c r="D112" s="19" t="s">
        <v>2009</v>
      </c>
      <c r="E112" s="18" t="s">
        <v>2020</v>
      </c>
      <c r="F112" s="19" t="s">
        <v>2021</v>
      </c>
    </row>
    <row r="113" spans="1:6">
      <c r="A113" s="18" t="s">
        <v>1715</v>
      </c>
      <c r="B113" s="19" t="s">
        <v>2003</v>
      </c>
      <c r="C113" s="18">
        <v>22</v>
      </c>
      <c r="D113" s="19" t="s">
        <v>2009</v>
      </c>
      <c r="E113" s="18" t="s">
        <v>2022</v>
      </c>
      <c r="F113" s="19" t="s">
        <v>2023</v>
      </c>
    </row>
    <row r="114" spans="1:6">
      <c r="A114" s="18" t="s">
        <v>1715</v>
      </c>
      <c r="B114" s="19" t="s">
        <v>2003</v>
      </c>
      <c r="C114" s="18">
        <v>23</v>
      </c>
      <c r="D114" s="19" t="s">
        <v>2009</v>
      </c>
      <c r="E114" s="18" t="s">
        <v>2024</v>
      </c>
      <c r="F114" s="19" t="s">
        <v>2025</v>
      </c>
    </row>
    <row r="115" spans="1:6">
      <c r="A115" s="18" t="s">
        <v>1715</v>
      </c>
      <c r="B115" s="19" t="s">
        <v>2003</v>
      </c>
      <c r="C115" s="18">
        <v>24</v>
      </c>
      <c r="D115" s="19" t="s">
        <v>2009</v>
      </c>
      <c r="E115" s="18" t="s">
        <v>2026</v>
      </c>
      <c r="F115" s="19" t="s">
        <v>2027</v>
      </c>
    </row>
    <row r="116" spans="1:6" ht="55.2">
      <c r="A116" s="18" t="s">
        <v>1715</v>
      </c>
      <c r="B116" s="19" t="s">
        <v>2003</v>
      </c>
      <c r="C116" s="18">
        <v>25</v>
      </c>
      <c r="D116" s="19" t="s">
        <v>2009</v>
      </c>
      <c r="E116" s="18" t="s">
        <v>2026</v>
      </c>
      <c r="F116" s="19" t="s">
        <v>2028</v>
      </c>
    </row>
  </sheetData>
  <autoFilter ref="A4:F116" xr:uid="{00000000-0009-0000-0000-000007000000}"/>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question_inventory</vt:lpstr>
      <vt:lpstr>Q1_Q13_raw</vt:lpstr>
      <vt:lpstr>S1_S10_aggregate</vt:lpstr>
      <vt:lpstr>S1_S10_survey</vt:lpstr>
      <vt:lpstr>FGD_raw</vt:lpstr>
      <vt:lpstr>KII_raw</vt:lpstr>
      <vt:lpstr>FGD_recent_raw</vt:lpstr>
      <vt:lpstr>KII_recent_raw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Chyon, Sadiul</cp:lastModifiedBy>
  <dcterms:created xsi:type="dcterms:W3CDTF">2026-08-07T19:20:01Z</dcterms:created>
  <dcterms:modified xsi:type="dcterms:W3CDTF">2026-08-08T22:52:38Z</dcterms:modified>
</cp:coreProperties>
</file>